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drawings/drawing1.xml" ContentType="application/vnd.openxmlformats-officedocument.drawing+xml"/>
  <Override PartName="/xl/charts/style2.xml" ContentType="application/vnd.ms-office.chartstyle+xml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3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<sst xmlns="http://schemas.openxmlformats.org/spreadsheetml/2006/main" count="11" uniqueCount="11">
  <si>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 xml:space="preserve">Time (ms)</t>
  </si>
  <si>
    <t xml:space="preserve">P Term (Kp=14)</t>
  </si>
  <si>
    <t xml:space="preserve">I Term (Ki=0.14)</t>
  </si>
  <si>
    <t xml:space="preserve">Duty Cycle (/159)</t>
  </si>
  <si>
    <t xml:space="preserve">Temperature (C)</t>
  </si>
  <si>
    <t xml:space="preserve">Time (Minutes)</t>
  </si>
  <si>
    <t xml:space="preserve">Duty Cycle (%)</t>
  </si>
  <si>
    <t xml:space="preserve">Setpoint (C)</t>
  </si>
  <si>
    <t xml:space="preserve">Power (W)</t>
  </si>
  <si>
    <t xml:space="preserve">Error (C)</t>
  </si>
  <si>
    <t xml:space="preserve">Fake Kp (14)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</si>
</sst>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"/>
        <bgColor theme="9" tint="0"/>
      </patternFill>
    </fill>
    <fill>
      <patternFill patternType="solid">
        <fgColor theme="7" tint="0"/>
        <bgColor theme="7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2" borderId="0" numFmtId="0" xfId="0" applyFill="1"/>
    <xf fontId="0" fillId="3" borderId="0" numFmtId="0" xfId="0" applyFill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Temperature over Time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Temperature (C)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4"/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Sheet1!$F$2:$F$286</c:f>
              <c:numCache>
                <c:formatCode>General</c:formatCode>
                <c:ptCount val="28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1.1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2</c:v>
                </c:pt>
                <c:pt idx="19">
                  <c:v>2.1</c:v>
                </c:pt>
                <c:pt idx="20">
                  <c:v>2.2</c:v>
                </c:pt>
                <c:pt idx="21">
                  <c:v>2.3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  <c:pt idx="29">
                  <c:v>3.2</c:v>
                </c:pt>
                <c:pt idx="30">
                  <c:v>3.3</c:v>
                </c:pt>
                <c:pt idx="31">
                  <c:v>3.4</c:v>
                </c:pt>
                <c:pt idx="32">
                  <c:v>3.5</c:v>
                </c:pt>
                <c:pt idx="33">
                  <c:v>3.6</c:v>
                </c:pt>
                <c:pt idx="34">
                  <c:v>3.7</c:v>
                </c:pt>
                <c:pt idx="35">
                  <c:v>3.8</c:v>
                </c:pt>
                <c:pt idx="36">
                  <c:v>3.9</c:v>
                </c:pt>
                <c:pt idx="37">
                  <c:v>4</c:v>
                </c:pt>
                <c:pt idx="38">
                  <c:v>4.1</c:v>
                </c:pt>
                <c:pt idx="39">
                  <c:v>4.2</c:v>
                </c:pt>
                <c:pt idx="40">
                  <c:v>4.3</c:v>
                </c:pt>
                <c:pt idx="41">
                  <c:v>4.4</c:v>
                </c:pt>
                <c:pt idx="42">
                  <c:v>4.5</c:v>
                </c:pt>
                <c:pt idx="43">
                  <c:v>4.6</c:v>
                </c:pt>
                <c:pt idx="44">
                  <c:v>4.7</c:v>
                </c:pt>
                <c:pt idx="45">
                  <c:v>4.8</c:v>
                </c:pt>
                <c:pt idx="46">
                  <c:v>4.9</c:v>
                </c:pt>
                <c:pt idx="47">
                  <c:v>5</c:v>
                </c:pt>
                <c:pt idx="48">
                  <c:v>5.1</c:v>
                </c:pt>
                <c:pt idx="49">
                  <c:v>5.3</c:v>
                </c:pt>
                <c:pt idx="50">
                  <c:v>5.4</c:v>
                </c:pt>
                <c:pt idx="51">
                  <c:v>5.5</c:v>
                </c:pt>
                <c:pt idx="52">
                  <c:v>5.6</c:v>
                </c:pt>
                <c:pt idx="53">
                  <c:v>5.7</c:v>
                </c:pt>
                <c:pt idx="54">
                  <c:v>5.8</c:v>
                </c:pt>
                <c:pt idx="55">
                  <c:v>5.9</c:v>
                </c:pt>
                <c:pt idx="56">
                  <c:v>6</c:v>
                </c:pt>
                <c:pt idx="57">
                  <c:v>6.1</c:v>
                </c:pt>
                <c:pt idx="58">
                  <c:v>6.2</c:v>
                </c:pt>
                <c:pt idx="59">
                  <c:v>6.3</c:v>
                </c:pt>
                <c:pt idx="60">
                  <c:v>6.4</c:v>
                </c:pt>
                <c:pt idx="61">
                  <c:v>6.5</c:v>
                </c:pt>
                <c:pt idx="62">
                  <c:v>6.6</c:v>
                </c:pt>
                <c:pt idx="63">
                  <c:v>6.7</c:v>
                </c:pt>
                <c:pt idx="64">
                  <c:v>6.8</c:v>
                </c:pt>
                <c:pt idx="65">
                  <c:v>6.9</c:v>
                </c:pt>
                <c:pt idx="66">
                  <c:v>7</c:v>
                </c:pt>
                <c:pt idx="67">
                  <c:v>7.1</c:v>
                </c:pt>
                <c:pt idx="68">
                  <c:v>7.2</c:v>
                </c:pt>
                <c:pt idx="69">
                  <c:v>7.4</c:v>
                </c:pt>
                <c:pt idx="70">
                  <c:v>7.5</c:v>
                </c:pt>
                <c:pt idx="71">
                  <c:v>7.6</c:v>
                </c:pt>
                <c:pt idx="72">
                  <c:v>7.7</c:v>
                </c:pt>
                <c:pt idx="73">
                  <c:v>7.8</c:v>
                </c:pt>
                <c:pt idx="74">
                  <c:v>7.9</c:v>
                </c:pt>
                <c:pt idx="75">
                  <c:v>8</c:v>
                </c:pt>
                <c:pt idx="76">
                  <c:v>8.1</c:v>
                </c:pt>
                <c:pt idx="77">
                  <c:v>8.2</c:v>
                </c:pt>
                <c:pt idx="78">
                  <c:v>8.3</c:v>
                </c:pt>
                <c:pt idx="79">
                  <c:v>8.4</c:v>
                </c:pt>
                <c:pt idx="80">
                  <c:v>8.5</c:v>
                </c:pt>
                <c:pt idx="81">
                  <c:v>8.6</c:v>
                </c:pt>
                <c:pt idx="82">
                  <c:v>8.7</c:v>
                </c:pt>
                <c:pt idx="83">
                  <c:v>8.8</c:v>
                </c:pt>
                <c:pt idx="84">
                  <c:v>8.9</c:v>
                </c:pt>
                <c:pt idx="85">
                  <c:v>9</c:v>
                </c:pt>
                <c:pt idx="86">
                  <c:v>9.1</c:v>
                </c:pt>
                <c:pt idx="87">
                  <c:v>9.2</c:v>
                </c:pt>
                <c:pt idx="88">
                  <c:v>9.3</c:v>
                </c:pt>
                <c:pt idx="89">
                  <c:v>9.5</c:v>
                </c:pt>
                <c:pt idx="90">
                  <c:v>9.6</c:v>
                </c:pt>
                <c:pt idx="91">
                  <c:v>9.7</c:v>
                </c:pt>
                <c:pt idx="92">
                  <c:v>9.8</c:v>
                </c:pt>
                <c:pt idx="93">
                  <c:v>9.9</c:v>
                </c:pt>
                <c:pt idx="94">
                  <c:v>10</c:v>
                </c:pt>
                <c:pt idx="95">
                  <c:v>10.1</c:v>
                </c:pt>
                <c:pt idx="96">
                  <c:v>10.2</c:v>
                </c:pt>
                <c:pt idx="97">
                  <c:v>10.3</c:v>
                </c:pt>
                <c:pt idx="98">
                  <c:v>10.4</c:v>
                </c:pt>
                <c:pt idx="99">
                  <c:v>10.5</c:v>
                </c:pt>
                <c:pt idx="100">
                  <c:v>10.6</c:v>
                </c:pt>
                <c:pt idx="101">
                  <c:v>10.7</c:v>
                </c:pt>
                <c:pt idx="102">
                  <c:v>10.8</c:v>
                </c:pt>
                <c:pt idx="103">
                  <c:v>10.9</c:v>
                </c:pt>
                <c:pt idx="104">
                  <c:v>11</c:v>
                </c:pt>
                <c:pt idx="105">
                  <c:v>11.1</c:v>
                </c:pt>
                <c:pt idx="106">
                  <c:v>11.2</c:v>
                </c:pt>
                <c:pt idx="107">
                  <c:v>11.3</c:v>
                </c:pt>
                <c:pt idx="108">
                  <c:v>11.5</c:v>
                </c:pt>
                <c:pt idx="109">
                  <c:v>11.6</c:v>
                </c:pt>
                <c:pt idx="110">
                  <c:v>11.7</c:v>
                </c:pt>
                <c:pt idx="111">
                  <c:v>11.8</c:v>
                </c:pt>
                <c:pt idx="112">
                  <c:v>11.9</c:v>
                </c:pt>
                <c:pt idx="113">
                  <c:v>12</c:v>
                </c:pt>
                <c:pt idx="114">
                  <c:v>12.1</c:v>
                </c:pt>
                <c:pt idx="115">
                  <c:v>12.2</c:v>
                </c:pt>
                <c:pt idx="116">
                  <c:v>12.3</c:v>
                </c:pt>
                <c:pt idx="117">
                  <c:v>12.4</c:v>
                </c:pt>
                <c:pt idx="118">
                  <c:v>12.5</c:v>
                </c:pt>
                <c:pt idx="119">
                  <c:v>12.6</c:v>
                </c:pt>
                <c:pt idx="120">
                  <c:v>12.7</c:v>
                </c:pt>
                <c:pt idx="121">
                  <c:v>12.8</c:v>
                </c:pt>
                <c:pt idx="122">
                  <c:v>12.9</c:v>
                </c:pt>
                <c:pt idx="123">
                  <c:v>13</c:v>
                </c:pt>
                <c:pt idx="124">
                  <c:v>13.1</c:v>
                </c:pt>
                <c:pt idx="125">
                  <c:v>13.2</c:v>
                </c:pt>
                <c:pt idx="126">
                  <c:v>13.3</c:v>
                </c:pt>
                <c:pt idx="127">
                  <c:v>13.4</c:v>
                </c:pt>
                <c:pt idx="128">
                  <c:v>13.6</c:v>
                </c:pt>
                <c:pt idx="129">
                  <c:v>13.7</c:v>
                </c:pt>
                <c:pt idx="130">
                  <c:v>13.8</c:v>
                </c:pt>
                <c:pt idx="131">
                  <c:v>13.9</c:v>
                </c:pt>
                <c:pt idx="132">
                  <c:v>14</c:v>
                </c:pt>
                <c:pt idx="133">
                  <c:v>14.1</c:v>
                </c:pt>
                <c:pt idx="134">
                  <c:v>14.2</c:v>
                </c:pt>
                <c:pt idx="135">
                  <c:v>14.3</c:v>
                </c:pt>
                <c:pt idx="136">
                  <c:v>14.4</c:v>
                </c:pt>
                <c:pt idx="137">
                  <c:v>14.5</c:v>
                </c:pt>
                <c:pt idx="138">
                  <c:v>14.6</c:v>
                </c:pt>
                <c:pt idx="139">
                  <c:v>14.7</c:v>
                </c:pt>
                <c:pt idx="140">
                  <c:v>14.8</c:v>
                </c:pt>
                <c:pt idx="141">
                  <c:v>14.9</c:v>
                </c:pt>
                <c:pt idx="142">
                  <c:v>15</c:v>
                </c:pt>
                <c:pt idx="143">
                  <c:v>15.1</c:v>
                </c:pt>
                <c:pt idx="144">
                  <c:v>15.2</c:v>
                </c:pt>
                <c:pt idx="145">
                  <c:v>15.3</c:v>
                </c:pt>
                <c:pt idx="146">
                  <c:v>15.4</c:v>
                </c:pt>
                <c:pt idx="147">
                  <c:v>15.5</c:v>
                </c:pt>
                <c:pt idx="148">
                  <c:v>15.7</c:v>
                </c:pt>
                <c:pt idx="149">
                  <c:v>15.8</c:v>
                </c:pt>
                <c:pt idx="150">
                  <c:v>15.9</c:v>
                </c:pt>
                <c:pt idx="151">
                  <c:v>16</c:v>
                </c:pt>
                <c:pt idx="152">
                  <c:v>16.1</c:v>
                </c:pt>
                <c:pt idx="153">
                  <c:v>16.2</c:v>
                </c:pt>
                <c:pt idx="154">
                  <c:v>16.3</c:v>
                </c:pt>
                <c:pt idx="155">
                  <c:v>16.4</c:v>
                </c:pt>
                <c:pt idx="156">
                  <c:v>16.5</c:v>
                </c:pt>
                <c:pt idx="157">
                  <c:v>16.6</c:v>
                </c:pt>
                <c:pt idx="158">
                  <c:v>16.7</c:v>
                </c:pt>
                <c:pt idx="159">
                  <c:v>16.8</c:v>
                </c:pt>
                <c:pt idx="160">
                  <c:v>16.9</c:v>
                </c:pt>
                <c:pt idx="161">
                  <c:v>17</c:v>
                </c:pt>
                <c:pt idx="162">
                  <c:v>17.1</c:v>
                </c:pt>
                <c:pt idx="163">
                  <c:v>17.2</c:v>
                </c:pt>
                <c:pt idx="164">
                  <c:v>17.3</c:v>
                </c:pt>
                <c:pt idx="165">
                  <c:v>17.4</c:v>
                </c:pt>
                <c:pt idx="166">
                  <c:v>17.5</c:v>
                </c:pt>
                <c:pt idx="167">
                  <c:v>17.6</c:v>
                </c:pt>
                <c:pt idx="168">
                  <c:v>17.8</c:v>
                </c:pt>
                <c:pt idx="169">
                  <c:v>17.9</c:v>
                </c:pt>
                <c:pt idx="170">
                  <c:v>18</c:v>
                </c:pt>
                <c:pt idx="171">
                  <c:v>18.1</c:v>
                </c:pt>
                <c:pt idx="172">
                  <c:v>18.2</c:v>
                </c:pt>
                <c:pt idx="173">
                  <c:v>18.3</c:v>
                </c:pt>
                <c:pt idx="174">
                  <c:v>18.4</c:v>
                </c:pt>
                <c:pt idx="175">
                  <c:v>18.5</c:v>
                </c:pt>
                <c:pt idx="176">
                  <c:v>18.6</c:v>
                </c:pt>
                <c:pt idx="177">
                  <c:v>18.7</c:v>
                </c:pt>
                <c:pt idx="178">
                  <c:v>18.8</c:v>
                </c:pt>
                <c:pt idx="179">
                  <c:v>18.9</c:v>
                </c:pt>
                <c:pt idx="180">
                  <c:v>19</c:v>
                </c:pt>
                <c:pt idx="181">
                  <c:v>19.1</c:v>
                </c:pt>
                <c:pt idx="182">
                  <c:v>19.2</c:v>
                </c:pt>
                <c:pt idx="183">
                  <c:v>19.3</c:v>
                </c:pt>
                <c:pt idx="184">
                  <c:v>19.4</c:v>
                </c:pt>
                <c:pt idx="185">
                  <c:v>19.5</c:v>
                </c:pt>
                <c:pt idx="186">
                  <c:v>19.6</c:v>
                </c:pt>
                <c:pt idx="187">
                  <c:v>19.8</c:v>
                </c:pt>
                <c:pt idx="188">
                  <c:v>19.9</c:v>
                </c:pt>
                <c:pt idx="189">
                  <c:v>20</c:v>
                </c:pt>
                <c:pt idx="190">
                  <c:v>20.1</c:v>
                </c:pt>
                <c:pt idx="191">
                  <c:v>20.2</c:v>
                </c:pt>
                <c:pt idx="192">
                  <c:v>20.3</c:v>
                </c:pt>
                <c:pt idx="193">
                  <c:v>20.4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21.9</c:v>
                </c:pt>
                <c:pt idx="208">
                  <c:v>22</c:v>
                </c:pt>
                <c:pt idx="209">
                  <c:v>22.1</c:v>
                </c:pt>
                <c:pt idx="210">
                  <c:v>22.2</c:v>
                </c:pt>
                <c:pt idx="211">
                  <c:v>22.3</c:v>
                </c:pt>
                <c:pt idx="212">
                  <c:v>22.4</c:v>
                </c:pt>
                <c:pt idx="213">
                  <c:v>22.5</c:v>
                </c:pt>
                <c:pt idx="214">
                  <c:v>22.6</c:v>
                </c:pt>
                <c:pt idx="215">
                  <c:v>22.7</c:v>
                </c:pt>
                <c:pt idx="216">
                  <c:v>22.8</c:v>
                </c:pt>
                <c:pt idx="217">
                  <c:v>22.9</c:v>
                </c:pt>
                <c:pt idx="218">
                  <c:v>23</c:v>
                </c:pt>
                <c:pt idx="219">
                  <c:v>23.1</c:v>
                </c:pt>
                <c:pt idx="220">
                  <c:v>23.2</c:v>
                </c:pt>
                <c:pt idx="221">
                  <c:v>23.3</c:v>
                </c:pt>
                <c:pt idx="222">
                  <c:v>23.4</c:v>
                </c:pt>
                <c:pt idx="223">
                  <c:v>23.5</c:v>
                </c:pt>
                <c:pt idx="224">
                  <c:v>23.6</c:v>
                </c:pt>
                <c:pt idx="225">
                  <c:v>23.7</c:v>
                </c:pt>
                <c:pt idx="226">
                  <c:v>23.8</c:v>
                </c:pt>
                <c:pt idx="227">
                  <c:v>24</c:v>
                </c:pt>
                <c:pt idx="228">
                  <c:v>24.1</c:v>
                </c:pt>
                <c:pt idx="229">
                  <c:v>24.2</c:v>
                </c:pt>
                <c:pt idx="230">
                  <c:v>24.3</c:v>
                </c:pt>
                <c:pt idx="231">
                  <c:v>24.4</c:v>
                </c:pt>
                <c:pt idx="232">
                  <c:v>24.5</c:v>
                </c:pt>
                <c:pt idx="233">
                  <c:v>24.6</c:v>
                </c:pt>
                <c:pt idx="234">
                  <c:v>24.7</c:v>
                </c:pt>
                <c:pt idx="235">
                  <c:v>24.8</c:v>
                </c:pt>
                <c:pt idx="236">
                  <c:v>24.9</c:v>
                </c:pt>
                <c:pt idx="237">
                  <c:v>25</c:v>
                </c:pt>
                <c:pt idx="238">
                  <c:v>25.1</c:v>
                </c:pt>
                <c:pt idx="239">
                  <c:v>25.2</c:v>
                </c:pt>
                <c:pt idx="240">
                  <c:v>25.3</c:v>
                </c:pt>
                <c:pt idx="241">
                  <c:v>25.4</c:v>
                </c:pt>
                <c:pt idx="242">
                  <c:v>25.5</c:v>
                </c:pt>
                <c:pt idx="243">
                  <c:v>25.6</c:v>
                </c:pt>
                <c:pt idx="244">
                  <c:v>25.7</c:v>
                </c:pt>
                <c:pt idx="245">
                  <c:v>25.8</c:v>
                </c:pt>
                <c:pt idx="246">
                  <c:v>25.9</c:v>
                </c:pt>
                <c:pt idx="247">
                  <c:v>26.1</c:v>
                </c:pt>
                <c:pt idx="248">
                  <c:v>26.2</c:v>
                </c:pt>
                <c:pt idx="249">
                  <c:v>26.3</c:v>
                </c:pt>
                <c:pt idx="250">
                  <c:v>26.4</c:v>
                </c:pt>
                <c:pt idx="251">
                  <c:v>26.5</c:v>
                </c:pt>
                <c:pt idx="252">
                  <c:v>26.6</c:v>
                </c:pt>
                <c:pt idx="253">
                  <c:v>26.7</c:v>
                </c:pt>
                <c:pt idx="254">
                  <c:v>26.8</c:v>
                </c:pt>
                <c:pt idx="255">
                  <c:v>26.9</c:v>
                </c:pt>
                <c:pt idx="256">
                  <c:v>27</c:v>
                </c:pt>
                <c:pt idx="257">
                  <c:v>27.1</c:v>
                </c:pt>
                <c:pt idx="258">
                  <c:v>27.2</c:v>
                </c:pt>
                <c:pt idx="259">
                  <c:v>27.3</c:v>
                </c:pt>
                <c:pt idx="260">
                  <c:v>27.4</c:v>
                </c:pt>
                <c:pt idx="261">
                  <c:v>27.5</c:v>
                </c:pt>
                <c:pt idx="262">
                  <c:v>27.6</c:v>
                </c:pt>
                <c:pt idx="263">
                  <c:v>27.7</c:v>
                </c:pt>
                <c:pt idx="264">
                  <c:v>27.8</c:v>
                </c:pt>
                <c:pt idx="265">
                  <c:v>27.9</c:v>
                </c:pt>
                <c:pt idx="266">
                  <c:v>28</c:v>
                </c:pt>
                <c:pt idx="267">
                  <c:v>28.2</c:v>
                </c:pt>
                <c:pt idx="268">
                  <c:v>28.3</c:v>
                </c:pt>
                <c:pt idx="269">
                  <c:v>28.4</c:v>
                </c:pt>
                <c:pt idx="270">
                  <c:v>28.5</c:v>
                </c:pt>
                <c:pt idx="271">
                  <c:v>28.6</c:v>
                </c:pt>
                <c:pt idx="272">
                  <c:v>28.7</c:v>
                </c:pt>
                <c:pt idx="273">
                  <c:v>28.8</c:v>
                </c:pt>
                <c:pt idx="274">
                  <c:v>28.9</c:v>
                </c:pt>
                <c:pt idx="275">
                  <c:v>29</c:v>
                </c:pt>
                <c:pt idx="276">
                  <c:v>29.1</c:v>
                </c:pt>
                <c:pt idx="277">
                  <c:v>29.2</c:v>
                </c:pt>
                <c:pt idx="278">
                  <c:v>29.3</c:v>
                </c:pt>
                <c:pt idx="279">
                  <c:v>29.4</c:v>
                </c:pt>
                <c:pt idx="280">
                  <c:v>29.5</c:v>
                </c:pt>
                <c:pt idx="281">
                  <c:v>29.6</c:v>
                </c:pt>
                <c:pt idx="282">
                  <c:v>29.7</c:v>
                </c:pt>
                <c:pt idx="283">
                  <c:v>29.8</c:v>
                </c:pt>
                <c:pt idx="284">
                  <c:v>29.9</c:v>
                </c:pt>
              </c:numCache>
            </c:numRef>
          </c:cat>
          <c:val>
            <c:numRef>
              <c:f>Sheet1!$E$2:$E$286</c:f>
              <c:numCache>
                <c:formatCode>General</c:formatCode>
                <c:ptCount val="285"/>
                <c:pt idx="0">
                  <c:v>24.9</c:v>
                </c:pt>
                <c:pt idx="1">
                  <c:v>24.9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24.9</c:v>
                </c:pt>
                <c:pt idx="6">
                  <c:v>25</c:v>
                </c:pt>
                <c:pt idx="7">
                  <c:v>25</c:v>
                </c:pt>
                <c:pt idx="8">
                  <c:v>25.1</c:v>
                </c:pt>
                <c:pt idx="9">
                  <c:v>25.1</c:v>
                </c:pt>
                <c:pt idx="10">
                  <c:v>25.2</c:v>
                </c:pt>
                <c:pt idx="11">
                  <c:v>25.3</c:v>
                </c:pt>
                <c:pt idx="12">
                  <c:v>25.3</c:v>
                </c:pt>
                <c:pt idx="13">
                  <c:v>25.6</c:v>
                </c:pt>
                <c:pt idx="14">
                  <c:v>25.6</c:v>
                </c:pt>
                <c:pt idx="15">
                  <c:v>25.8</c:v>
                </c:pt>
                <c:pt idx="16">
                  <c:v>25.9</c:v>
                </c:pt>
                <c:pt idx="17">
                  <c:v>26</c:v>
                </c:pt>
                <c:pt idx="18">
                  <c:v>26.3</c:v>
                </c:pt>
                <c:pt idx="19">
                  <c:v>26.3</c:v>
                </c:pt>
                <c:pt idx="20">
                  <c:v>26.5</c:v>
                </c:pt>
                <c:pt idx="21">
                  <c:v>26.6</c:v>
                </c:pt>
                <c:pt idx="22">
                  <c:v>26.9</c:v>
                </c:pt>
                <c:pt idx="23">
                  <c:v>27</c:v>
                </c:pt>
                <c:pt idx="24">
                  <c:v>27.1</c:v>
                </c:pt>
                <c:pt idx="25">
                  <c:v>27.5</c:v>
                </c:pt>
                <c:pt idx="26">
                  <c:v>27.6</c:v>
                </c:pt>
                <c:pt idx="27">
                  <c:v>28</c:v>
                </c:pt>
                <c:pt idx="28">
                  <c:v>28.2</c:v>
                </c:pt>
                <c:pt idx="29">
                  <c:v>28.3</c:v>
                </c:pt>
                <c:pt idx="30">
                  <c:v>28.5</c:v>
                </c:pt>
                <c:pt idx="31">
                  <c:v>28.5</c:v>
                </c:pt>
                <c:pt idx="32">
                  <c:v>29.3</c:v>
                </c:pt>
                <c:pt idx="33">
                  <c:v>29.4</c:v>
                </c:pt>
                <c:pt idx="34">
                  <c:v>29.6</c:v>
                </c:pt>
                <c:pt idx="35">
                  <c:v>29.8</c:v>
                </c:pt>
                <c:pt idx="36">
                  <c:v>30.1</c:v>
                </c:pt>
                <c:pt idx="37">
                  <c:v>30.1</c:v>
                </c:pt>
                <c:pt idx="38">
                  <c:v>30.3</c:v>
                </c:pt>
                <c:pt idx="39">
                  <c:v>30.5</c:v>
                </c:pt>
                <c:pt idx="40">
                  <c:v>30.9</c:v>
                </c:pt>
                <c:pt idx="41">
                  <c:v>31</c:v>
                </c:pt>
                <c:pt idx="42">
                  <c:v>31.6</c:v>
                </c:pt>
                <c:pt idx="43">
                  <c:v>31.8</c:v>
                </c:pt>
                <c:pt idx="44">
                  <c:v>32.1</c:v>
                </c:pt>
                <c:pt idx="45">
                  <c:v>32.1</c:v>
                </c:pt>
                <c:pt idx="46">
                  <c:v>32.5</c:v>
                </c:pt>
                <c:pt idx="47">
                  <c:v>32.7</c:v>
                </c:pt>
                <c:pt idx="48">
                  <c:v>32.7</c:v>
                </c:pt>
                <c:pt idx="49">
                  <c:v>33</c:v>
                </c:pt>
                <c:pt idx="50">
                  <c:v>33.6</c:v>
                </c:pt>
                <c:pt idx="51">
                  <c:v>33.8</c:v>
                </c:pt>
                <c:pt idx="52">
                  <c:v>34</c:v>
                </c:pt>
                <c:pt idx="53">
                  <c:v>34.2</c:v>
                </c:pt>
                <c:pt idx="54">
                  <c:v>34.2</c:v>
                </c:pt>
                <c:pt idx="55">
                  <c:v>34.5</c:v>
                </c:pt>
                <c:pt idx="56">
                  <c:v>34.8</c:v>
                </c:pt>
                <c:pt idx="57">
                  <c:v>35.2</c:v>
                </c:pt>
                <c:pt idx="58">
                  <c:v>35.3</c:v>
                </c:pt>
                <c:pt idx="59">
                  <c:v>35.2</c:v>
                </c:pt>
                <c:pt idx="60">
                  <c:v>35.6</c:v>
                </c:pt>
                <c:pt idx="61">
                  <c:v>35.6</c:v>
                </c:pt>
                <c:pt idx="62">
                  <c:v>35.9</c:v>
                </c:pt>
                <c:pt idx="63">
                  <c:v>36.2</c:v>
                </c:pt>
                <c:pt idx="64">
                  <c:v>36.4</c:v>
                </c:pt>
                <c:pt idx="65">
                  <c:v>36.5</c:v>
                </c:pt>
                <c:pt idx="66">
                  <c:v>36.6</c:v>
                </c:pt>
                <c:pt idx="67">
                  <c:v>36.9</c:v>
                </c:pt>
                <c:pt idx="68">
                  <c:v>36.8</c:v>
                </c:pt>
                <c:pt idx="69">
                  <c:v>37.2</c:v>
                </c:pt>
                <c:pt idx="70">
                  <c:v>37.3</c:v>
                </c:pt>
                <c:pt idx="71">
                  <c:v>37.5</c:v>
                </c:pt>
                <c:pt idx="72">
                  <c:v>37.7</c:v>
                </c:pt>
                <c:pt idx="73">
                  <c:v>37.8</c:v>
                </c:pt>
                <c:pt idx="74">
                  <c:v>37.8</c:v>
                </c:pt>
                <c:pt idx="75">
                  <c:v>38</c:v>
                </c:pt>
                <c:pt idx="76">
                  <c:v>37.8</c:v>
                </c:pt>
                <c:pt idx="77">
                  <c:v>38.2</c:v>
                </c:pt>
                <c:pt idx="78">
                  <c:v>38.1</c:v>
                </c:pt>
                <c:pt idx="79">
                  <c:v>38.3</c:v>
                </c:pt>
                <c:pt idx="80">
                  <c:v>38.2</c:v>
                </c:pt>
                <c:pt idx="81">
                  <c:v>38.3</c:v>
                </c:pt>
                <c:pt idx="82">
                  <c:v>38.6</c:v>
                </c:pt>
                <c:pt idx="83">
                  <c:v>38.5</c:v>
                </c:pt>
                <c:pt idx="84">
                  <c:v>38.5</c:v>
                </c:pt>
                <c:pt idx="85">
                  <c:v>38.6</c:v>
                </c:pt>
                <c:pt idx="86">
                  <c:v>38.7</c:v>
                </c:pt>
                <c:pt idx="87">
                  <c:v>38.7</c:v>
                </c:pt>
                <c:pt idx="88">
                  <c:v>38.8</c:v>
                </c:pt>
                <c:pt idx="89">
                  <c:v>38.8</c:v>
                </c:pt>
                <c:pt idx="90">
                  <c:v>39</c:v>
                </c:pt>
                <c:pt idx="91">
                  <c:v>38.9</c:v>
                </c:pt>
                <c:pt idx="92">
                  <c:v>38.6</c:v>
                </c:pt>
                <c:pt idx="93">
                  <c:v>38.7</c:v>
                </c:pt>
                <c:pt idx="94">
                  <c:v>38.8</c:v>
                </c:pt>
                <c:pt idx="95">
                  <c:v>39.1</c:v>
                </c:pt>
                <c:pt idx="96">
                  <c:v>38.8</c:v>
                </c:pt>
                <c:pt idx="97">
                  <c:v>39</c:v>
                </c:pt>
                <c:pt idx="98">
                  <c:v>38.7</c:v>
                </c:pt>
                <c:pt idx="99">
                  <c:v>38.6</c:v>
                </c:pt>
                <c:pt idx="100">
                  <c:v>38.7</c:v>
                </c:pt>
                <c:pt idx="101">
                  <c:v>38.6</c:v>
                </c:pt>
                <c:pt idx="102">
                  <c:v>39</c:v>
                </c:pt>
                <c:pt idx="103">
                  <c:v>38.7</c:v>
                </c:pt>
                <c:pt idx="104">
                  <c:v>39</c:v>
                </c:pt>
                <c:pt idx="105">
                  <c:v>38.8</c:v>
                </c:pt>
                <c:pt idx="106">
                  <c:v>38.6</c:v>
                </c:pt>
                <c:pt idx="107">
                  <c:v>38.7</c:v>
                </c:pt>
                <c:pt idx="108">
                  <c:v>38.7</c:v>
                </c:pt>
                <c:pt idx="109">
                  <c:v>38.6</c:v>
                </c:pt>
                <c:pt idx="110">
                  <c:v>38.5</c:v>
                </c:pt>
                <c:pt idx="111">
                  <c:v>38.6</c:v>
                </c:pt>
                <c:pt idx="112">
                  <c:v>38.3</c:v>
                </c:pt>
                <c:pt idx="113">
                  <c:v>38.5</c:v>
                </c:pt>
                <c:pt idx="114">
                  <c:v>38.4</c:v>
                </c:pt>
                <c:pt idx="115">
                  <c:v>38.4</c:v>
                </c:pt>
                <c:pt idx="116">
                  <c:v>38.3</c:v>
                </c:pt>
                <c:pt idx="117">
                  <c:v>38.4</c:v>
                </c:pt>
                <c:pt idx="118">
                  <c:v>38.3</c:v>
                </c:pt>
                <c:pt idx="119">
                  <c:v>38.3</c:v>
                </c:pt>
                <c:pt idx="120">
                  <c:v>38.2</c:v>
                </c:pt>
                <c:pt idx="121">
                  <c:v>38.1</c:v>
                </c:pt>
                <c:pt idx="122">
                  <c:v>38.1</c:v>
                </c:pt>
                <c:pt idx="123">
                  <c:v>38.1</c:v>
                </c:pt>
                <c:pt idx="124">
                  <c:v>38.2</c:v>
                </c:pt>
                <c:pt idx="125">
                  <c:v>38.2</c:v>
                </c:pt>
                <c:pt idx="126">
                  <c:v>38</c:v>
                </c:pt>
                <c:pt idx="127">
                  <c:v>38</c:v>
                </c:pt>
                <c:pt idx="128">
                  <c:v>38.1</c:v>
                </c:pt>
                <c:pt idx="129">
                  <c:v>37.8</c:v>
                </c:pt>
                <c:pt idx="130">
                  <c:v>37.8</c:v>
                </c:pt>
                <c:pt idx="131">
                  <c:v>37.7</c:v>
                </c:pt>
                <c:pt idx="132">
                  <c:v>37.7</c:v>
                </c:pt>
                <c:pt idx="133">
                  <c:v>37.6</c:v>
                </c:pt>
                <c:pt idx="134">
                  <c:v>37.5</c:v>
                </c:pt>
                <c:pt idx="135">
                  <c:v>37.6</c:v>
                </c:pt>
                <c:pt idx="136">
                  <c:v>37.6</c:v>
                </c:pt>
                <c:pt idx="137">
                  <c:v>37.6</c:v>
                </c:pt>
                <c:pt idx="138">
                  <c:v>37.5</c:v>
                </c:pt>
                <c:pt idx="139">
                  <c:v>37.2</c:v>
                </c:pt>
                <c:pt idx="140">
                  <c:v>37.5</c:v>
                </c:pt>
                <c:pt idx="141">
                  <c:v>37.4</c:v>
                </c:pt>
                <c:pt idx="142">
                  <c:v>37.4</c:v>
                </c:pt>
                <c:pt idx="143">
                  <c:v>37.3</c:v>
                </c:pt>
                <c:pt idx="144">
                  <c:v>37.2</c:v>
                </c:pt>
                <c:pt idx="145">
                  <c:v>37.3</c:v>
                </c:pt>
                <c:pt idx="146">
                  <c:v>37.1</c:v>
                </c:pt>
                <c:pt idx="147">
                  <c:v>37.1</c:v>
                </c:pt>
                <c:pt idx="148">
                  <c:v>37.2</c:v>
                </c:pt>
                <c:pt idx="149">
                  <c:v>37.2</c:v>
                </c:pt>
                <c:pt idx="150">
                  <c:v>36.9</c:v>
                </c:pt>
                <c:pt idx="151">
                  <c:v>37</c:v>
                </c:pt>
                <c:pt idx="152">
                  <c:v>37</c:v>
                </c:pt>
                <c:pt idx="153">
                  <c:v>37.1</c:v>
                </c:pt>
                <c:pt idx="154">
                  <c:v>37.1</c:v>
                </c:pt>
                <c:pt idx="155">
                  <c:v>36.9</c:v>
                </c:pt>
                <c:pt idx="156">
                  <c:v>36.8</c:v>
                </c:pt>
                <c:pt idx="157">
                  <c:v>36.8</c:v>
                </c:pt>
                <c:pt idx="158">
                  <c:v>36.8</c:v>
                </c:pt>
                <c:pt idx="159">
                  <c:v>36.8</c:v>
                </c:pt>
                <c:pt idx="160">
                  <c:v>36.8</c:v>
                </c:pt>
                <c:pt idx="161">
                  <c:v>36.8</c:v>
                </c:pt>
                <c:pt idx="162">
                  <c:v>36.8</c:v>
                </c:pt>
                <c:pt idx="163">
                  <c:v>36.7</c:v>
                </c:pt>
                <c:pt idx="164">
                  <c:v>36.8</c:v>
                </c:pt>
                <c:pt idx="165">
                  <c:v>36.7</c:v>
                </c:pt>
                <c:pt idx="166">
                  <c:v>36.6</c:v>
                </c:pt>
                <c:pt idx="167">
                  <c:v>36.6</c:v>
                </c:pt>
                <c:pt idx="168">
                  <c:v>36.2</c:v>
                </c:pt>
                <c:pt idx="169">
                  <c:v>36.7</c:v>
                </c:pt>
                <c:pt idx="170">
                  <c:v>36.7</c:v>
                </c:pt>
                <c:pt idx="171">
                  <c:v>36.7</c:v>
                </c:pt>
                <c:pt idx="172">
                  <c:v>36.7</c:v>
                </c:pt>
                <c:pt idx="173">
                  <c:v>36.6</c:v>
                </c:pt>
                <c:pt idx="174">
                  <c:v>36.7</c:v>
                </c:pt>
                <c:pt idx="175">
                  <c:v>36.8</c:v>
                </c:pt>
                <c:pt idx="176">
                  <c:v>36.4</c:v>
                </c:pt>
                <c:pt idx="177">
                  <c:v>36.6</c:v>
                </c:pt>
                <c:pt idx="178">
                  <c:v>36.6</c:v>
                </c:pt>
                <c:pt idx="179">
                  <c:v>36.6</c:v>
                </c:pt>
                <c:pt idx="180">
                  <c:v>36.6</c:v>
                </c:pt>
                <c:pt idx="181">
                  <c:v>36.7</c:v>
                </c:pt>
                <c:pt idx="182">
                  <c:v>36.8</c:v>
                </c:pt>
                <c:pt idx="183">
                  <c:v>36.6</c:v>
                </c:pt>
                <c:pt idx="184">
                  <c:v>36.5</c:v>
                </c:pt>
                <c:pt idx="185">
                  <c:v>36.6</c:v>
                </c:pt>
                <c:pt idx="186">
                  <c:v>36.6</c:v>
                </c:pt>
                <c:pt idx="187">
                  <c:v>36.7</c:v>
                </c:pt>
                <c:pt idx="188">
                  <c:v>36.7</c:v>
                </c:pt>
                <c:pt idx="189">
                  <c:v>36.6</c:v>
                </c:pt>
                <c:pt idx="190">
                  <c:v>36.7</c:v>
                </c:pt>
                <c:pt idx="191">
                  <c:v>36.1</c:v>
                </c:pt>
                <c:pt idx="192">
                  <c:v>36.8</c:v>
                </c:pt>
                <c:pt idx="193">
                  <c:v>36.7</c:v>
                </c:pt>
                <c:pt idx="194">
                  <c:v>36.6</c:v>
                </c:pt>
                <c:pt idx="195">
                  <c:v>36.6</c:v>
                </c:pt>
                <c:pt idx="196">
                  <c:v>36.6</c:v>
                </c:pt>
                <c:pt idx="197">
                  <c:v>36.5</c:v>
                </c:pt>
                <c:pt idx="198">
                  <c:v>36.8</c:v>
                </c:pt>
                <c:pt idx="199">
                  <c:v>36.5</c:v>
                </c:pt>
                <c:pt idx="200">
                  <c:v>36.7</c:v>
                </c:pt>
                <c:pt idx="201">
                  <c:v>36.5</c:v>
                </c:pt>
                <c:pt idx="202">
                  <c:v>36.8</c:v>
                </c:pt>
                <c:pt idx="203">
                  <c:v>36.7</c:v>
                </c:pt>
                <c:pt idx="204">
                  <c:v>36.8</c:v>
                </c:pt>
                <c:pt idx="205">
                  <c:v>36.7</c:v>
                </c:pt>
                <c:pt idx="206">
                  <c:v>36.6</c:v>
                </c:pt>
                <c:pt idx="207">
                  <c:v>36.8</c:v>
                </c:pt>
                <c:pt idx="208">
                  <c:v>36.7</c:v>
                </c:pt>
                <c:pt idx="209">
                  <c:v>36.5</c:v>
                </c:pt>
                <c:pt idx="210">
                  <c:v>36.8</c:v>
                </c:pt>
                <c:pt idx="211">
                  <c:v>36.6</c:v>
                </c:pt>
                <c:pt idx="212">
                  <c:v>36.8</c:v>
                </c:pt>
                <c:pt idx="213">
                  <c:v>36.8</c:v>
                </c:pt>
                <c:pt idx="214">
                  <c:v>36.9</c:v>
                </c:pt>
                <c:pt idx="215">
                  <c:v>36.7</c:v>
                </c:pt>
                <c:pt idx="216">
                  <c:v>36.9</c:v>
                </c:pt>
                <c:pt idx="217">
                  <c:v>36.8</c:v>
                </c:pt>
                <c:pt idx="218">
                  <c:v>36.4</c:v>
                </c:pt>
                <c:pt idx="219">
                  <c:v>37</c:v>
                </c:pt>
                <c:pt idx="220">
                  <c:v>36.9</c:v>
                </c:pt>
                <c:pt idx="221">
                  <c:v>36.7</c:v>
                </c:pt>
                <c:pt idx="222">
                  <c:v>37</c:v>
                </c:pt>
                <c:pt idx="223">
                  <c:v>36.9</c:v>
                </c:pt>
                <c:pt idx="224">
                  <c:v>36.8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37.1</c:v>
                </c:pt>
                <c:pt idx="229">
                  <c:v>36.6</c:v>
                </c:pt>
                <c:pt idx="230">
                  <c:v>37</c:v>
                </c:pt>
                <c:pt idx="231">
                  <c:v>37.2</c:v>
                </c:pt>
                <c:pt idx="232">
                  <c:v>37</c:v>
                </c:pt>
                <c:pt idx="233">
                  <c:v>37</c:v>
                </c:pt>
                <c:pt idx="234">
                  <c:v>37</c:v>
                </c:pt>
                <c:pt idx="235">
                  <c:v>36.9</c:v>
                </c:pt>
                <c:pt idx="236">
                  <c:v>37.2</c:v>
                </c:pt>
                <c:pt idx="237">
                  <c:v>37</c:v>
                </c:pt>
                <c:pt idx="238">
                  <c:v>37.2</c:v>
                </c:pt>
                <c:pt idx="239">
                  <c:v>37.1</c:v>
                </c:pt>
                <c:pt idx="240">
                  <c:v>36.9</c:v>
                </c:pt>
                <c:pt idx="241">
                  <c:v>36.9</c:v>
                </c:pt>
                <c:pt idx="242">
                  <c:v>37.1</c:v>
                </c:pt>
                <c:pt idx="243">
                  <c:v>37.2</c:v>
                </c:pt>
                <c:pt idx="244">
                  <c:v>37.2</c:v>
                </c:pt>
                <c:pt idx="245">
                  <c:v>37.2</c:v>
                </c:pt>
                <c:pt idx="246">
                  <c:v>37.1</c:v>
                </c:pt>
                <c:pt idx="247">
                  <c:v>37.2</c:v>
                </c:pt>
                <c:pt idx="248">
                  <c:v>37.4</c:v>
                </c:pt>
                <c:pt idx="249">
                  <c:v>37.2</c:v>
                </c:pt>
                <c:pt idx="250">
                  <c:v>37.4</c:v>
                </c:pt>
                <c:pt idx="251">
                  <c:v>37.6</c:v>
                </c:pt>
                <c:pt idx="252">
                  <c:v>37.3</c:v>
                </c:pt>
                <c:pt idx="253">
                  <c:v>37.4</c:v>
                </c:pt>
                <c:pt idx="254">
                  <c:v>37.2</c:v>
                </c:pt>
                <c:pt idx="255">
                  <c:v>37.4</c:v>
                </c:pt>
                <c:pt idx="256">
                  <c:v>37.3</c:v>
                </c:pt>
                <c:pt idx="257">
                  <c:v>37.2</c:v>
                </c:pt>
                <c:pt idx="258">
                  <c:v>37.2</c:v>
                </c:pt>
                <c:pt idx="259">
                  <c:v>37.6</c:v>
                </c:pt>
                <c:pt idx="260">
                  <c:v>37.8</c:v>
                </c:pt>
                <c:pt idx="261">
                  <c:v>37.3</c:v>
                </c:pt>
                <c:pt idx="262">
                  <c:v>37.4</c:v>
                </c:pt>
                <c:pt idx="263">
                  <c:v>37.3</c:v>
                </c:pt>
                <c:pt idx="264">
                  <c:v>37.4</c:v>
                </c:pt>
                <c:pt idx="265">
                  <c:v>37.1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37.6</c:v>
                </c:pt>
                <c:pt idx="272">
                  <c:v>37.3</c:v>
                </c:pt>
                <c:pt idx="273">
                  <c:v>37.3</c:v>
                </c:pt>
                <c:pt idx="274">
                  <c:v>37.4</c:v>
                </c:pt>
                <c:pt idx="275">
                  <c:v>37.2</c:v>
                </c:pt>
                <c:pt idx="276">
                  <c:v>37.2</c:v>
                </c:pt>
                <c:pt idx="277">
                  <c:v>37.4</c:v>
                </c:pt>
                <c:pt idx="278">
                  <c:v>37.1</c:v>
                </c:pt>
                <c:pt idx="279">
                  <c:v>37.2</c:v>
                </c:pt>
                <c:pt idx="280">
                  <c:v>37.4</c:v>
                </c:pt>
                <c:pt idx="281">
                  <c:v>37.3</c:v>
                </c:pt>
                <c:pt idx="282">
                  <c:v>37.3</c:v>
                </c:pt>
                <c:pt idx="283">
                  <c:v>37.4</c:v>
                </c:pt>
                <c:pt idx="284">
                  <c:v>37.3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Setpoint (C)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6"/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Sheet1!$F$2:$F$286</c:f>
              <c:numCache>
                <c:formatCode>General</c:formatCode>
                <c:ptCount val="28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1.1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2</c:v>
                </c:pt>
                <c:pt idx="19">
                  <c:v>2.1</c:v>
                </c:pt>
                <c:pt idx="20">
                  <c:v>2.2</c:v>
                </c:pt>
                <c:pt idx="21">
                  <c:v>2.3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  <c:pt idx="29">
                  <c:v>3.2</c:v>
                </c:pt>
                <c:pt idx="30">
                  <c:v>3.3</c:v>
                </c:pt>
                <c:pt idx="31">
                  <c:v>3.4</c:v>
                </c:pt>
                <c:pt idx="32">
                  <c:v>3.5</c:v>
                </c:pt>
                <c:pt idx="33">
                  <c:v>3.6</c:v>
                </c:pt>
                <c:pt idx="34">
                  <c:v>3.7</c:v>
                </c:pt>
                <c:pt idx="35">
                  <c:v>3.8</c:v>
                </c:pt>
                <c:pt idx="36">
                  <c:v>3.9</c:v>
                </c:pt>
                <c:pt idx="37">
                  <c:v>4</c:v>
                </c:pt>
                <c:pt idx="38">
                  <c:v>4.1</c:v>
                </c:pt>
                <c:pt idx="39">
                  <c:v>4.2</c:v>
                </c:pt>
                <c:pt idx="40">
                  <c:v>4.3</c:v>
                </c:pt>
                <c:pt idx="41">
                  <c:v>4.4</c:v>
                </c:pt>
                <c:pt idx="42">
                  <c:v>4.5</c:v>
                </c:pt>
                <c:pt idx="43">
                  <c:v>4.6</c:v>
                </c:pt>
                <c:pt idx="44">
                  <c:v>4.7</c:v>
                </c:pt>
                <c:pt idx="45">
                  <c:v>4.8</c:v>
                </c:pt>
                <c:pt idx="46">
                  <c:v>4.9</c:v>
                </c:pt>
                <c:pt idx="47">
                  <c:v>5</c:v>
                </c:pt>
                <c:pt idx="48">
                  <c:v>5.1</c:v>
                </c:pt>
                <c:pt idx="49">
                  <c:v>5.3</c:v>
                </c:pt>
                <c:pt idx="50">
                  <c:v>5.4</c:v>
                </c:pt>
                <c:pt idx="51">
                  <c:v>5.5</c:v>
                </c:pt>
                <c:pt idx="52">
                  <c:v>5.6</c:v>
                </c:pt>
                <c:pt idx="53">
                  <c:v>5.7</c:v>
                </c:pt>
                <c:pt idx="54">
                  <c:v>5.8</c:v>
                </c:pt>
                <c:pt idx="55">
                  <c:v>5.9</c:v>
                </c:pt>
                <c:pt idx="56">
                  <c:v>6</c:v>
                </c:pt>
                <c:pt idx="57">
                  <c:v>6.1</c:v>
                </c:pt>
                <c:pt idx="58">
                  <c:v>6.2</c:v>
                </c:pt>
                <c:pt idx="59">
                  <c:v>6.3</c:v>
                </c:pt>
                <c:pt idx="60">
                  <c:v>6.4</c:v>
                </c:pt>
                <c:pt idx="61">
                  <c:v>6.5</c:v>
                </c:pt>
                <c:pt idx="62">
                  <c:v>6.6</c:v>
                </c:pt>
                <c:pt idx="63">
                  <c:v>6.7</c:v>
                </c:pt>
                <c:pt idx="64">
                  <c:v>6.8</c:v>
                </c:pt>
                <c:pt idx="65">
                  <c:v>6.9</c:v>
                </c:pt>
                <c:pt idx="66">
                  <c:v>7</c:v>
                </c:pt>
                <c:pt idx="67">
                  <c:v>7.1</c:v>
                </c:pt>
                <c:pt idx="68">
                  <c:v>7.2</c:v>
                </c:pt>
                <c:pt idx="69">
                  <c:v>7.4</c:v>
                </c:pt>
                <c:pt idx="70">
                  <c:v>7.5</c:v>
                </c:pt>
                <c:pt idx="71">
                  <c:v>7.6</c:v>
                </c:pt>
                <c:pt idx="72">
                  <c:v>7.7</c:v>
                </c:pt>
                <c:pt idx="73">
                  <c:v>7.8</c:v>
                </c:pt>
                <c:pt idx="74">
                  <c:v>7.9</c:v>
                </c:pt>
                <c:pt idx="75">
                  <c:v>8</c:v>
                </c:pt>
                <c:pt idx="76">
                  <c:v>8.1</c:v>
                </c:pt>
                <c:pt idx="77">
                  <c:v>8.2</c:v>
                </c:pt>
                <c:pt idx="78">
                  <c:v>8.3</c:v>
                </c:pt>
                <c:pt idx="79">
                  <c:v>8.4</c:v>
                </c:pt>
                <c:pt idx="80">
                  <c:v>8.5</c:v>
                </c:pt>
                <c:pt idx="81">
                  <c:v>8.6</c:v>
                </c:pt>
                <c:pt idx="82">
                  <c:v>8.7</c:v>
                </c:pt>
                <c:pt idx="83">
                  <c:v>8.8</c:v>
                </c:pt>
                <c:pt idx="84">
                  <c:v>8.9</c:v>
                </c:pt>
                <c:pt idx="85">
                  <c:v>9</c:v>
                </c:pt>
                <c:pt idx="86">
                  <c:v>9.1</c:v>
                </c:pt>
                <c:pt idx="87">
                  <c:v>9.2</c:v>
                </c:pt>
                <c:pt idx="88">
                  <c:v>9.3</c:v>
                </c:pt>
                <c:pt idx="89">
                  <c:v>9.5</c:v>
                </c:pt>
                <c:pt idx="90">
                  <c:v>9.6</c:v>
                </c:pt>
                <c:pt idx="91">
                  <c:v>9.7</c:v>
                </c:pt>
                <c:pt idx="92">
                  <c:v>9.8</c:v>
                </c:pt>
                <c:pt idx="93">
                  <c:v>9.9</c:v>
                </c:pt>
                <c:pt idx="94">
                  <c:v>10</c:v>
                </c:pt>
                <c:pt idx="95">
                  <c:v>10.1</c:v>
                </c:pt>
                <c:pt idx="96">
                  <c:v>10.2</c:v>
                </c:pt>
                <c:pt idx="97">
                  <c:v>10.3</c:v>
                </c:pt>
                <c:pt idx="98">
                  <c:v>10.4</c:v>
                </c:pt>
                <c:pt idx="99">
                  <c:v>10.5</c:v>
                </c:pt>
                <c:pt idx="100">
                  <c:v>10.6</c:v>
                </c:pt>
                <c:pt idx="101">
                  <c:v>10.7</c:v>
                </c:pt>
                <c:pt idx="102">
                  <c:v>10.8</c:v>
                </c:pt>
                <c:pt idx="103">
                  <c:v>10.9</c:v>
                </c:pt>
                <c:pt idx="104">
                  <c:v>11</c:v>
                </c:pt>
                <c:pt idx="105">
                  <c:v>11.1</c:v>
                </c:pt>
                <c:pt idx="106">
                  <c:v>11.2</c:v>
                </c:pt>
                <c:pt idx="107">
                  <c:v>11.3</c:v>
                </c:pt>
                <c:pt idx="108">
                  <c:v>11.5</c:v>
                </c:pt>
                <c:pt idx="109">
                  <c:v>11.6</c:v>
                </c:pt>
                <c:pt idx="110">
                  <c:v>11.7</c:v>
                </c:pt>
                <c:pt idx="111">
                  <c:v>11.8</c:v>
                </c:pt>
                <c:pt idx="112">
                  <c:v>11.9</c:v>
                </c:pt>
                <c:pt idx="113">
                  <c:v>12</c:v>
                </c:pt>
                <c:pt idx="114">
                  <c:v>12.1</c:v>
                </c:pt>
                <c:pt idx="115">
                  <c:v>12.2</c:v>
                </c:pt>
                <c:pt idx="116">
                  <c:v>12.3</c:v>
                </c:pt>
                <c:pt idx="117">
                  <c:v>12.4</c:v>
                </c:pt>
                <c:pt idx="118">
                  <c:v>12.5</c:v>
                </c:pt>
                <c:pt idx="119">
                  <c:v>12.6</c:v>
                </c:pt>
                <c:pt idx="120">
                  <c:v>12.7</c:v>
                </c:pt>
                <c:pt idx="121">
                  <c:v>12.8</c:v>
                </c:pt>
                <c:pt idx="122">
                  <c:v>12.9</c:v>
                </c:pt>
                <c:pt idx="123">
                  <c:v>13</c:v>
                </c:pt>
                <c:pt idx="124">
                  <c:v>13.1</c:v>
                </c:pt>
                <c:pt idx="125">
                  <c:v>13.2</c:v>
                </c:pt>
                <c:pt idx="126">
                  <c:v>13.3</c:v>
                </c:pt>
                <c:pt idx="127">
                  <c:v>13.4</c:v>
                </c:pt>
                <c:pt idx="128">
                  <c:v>13.6</c:v>
                </c:pt>
                <c:pt idx="129">
                  <c:v>13.7</c:v>
                </c:pt>
                <c:pt idx="130">
                  <c:v>13.8</c:v>
                </c:pt>
                <c:pt idx="131">
                  <c:v>13.9</c:v>
                </c:pt>
                <c:pt idx="132">
                  <c:v>14</c:v>
                </c:pt>
                <c:pt idx="133">
                  <c:v>14.1</c:v>
                </c:pt>
                <c:pt idx="134">
                  <c:v>14.2</c:v>
                </c:pt>
                <c:pt idx="135">
                  <c:v>14.3</c:v>
                </c:pt>
                <c:pt idx="136">
                  <c:v>14.4</c:v>
                </c:pt>
                <c:pt idx="137">
                  <c:v>14.5</c:v>
                </c:pt>
                <c:pt idx="138">
                  <c:v>14.6</c:v>
                </c:pt>
                <c:pt idx="139">
                  <c:v>14.7</c:v>
                </c:pt>
                <c:pt idx="140">
                  <c:v>14.8</c:v>
                </c:pt>
                <c:pt idx="141">
                  <c:v>14.9</c:v>
                </c:pt>
                <c:pt idx="142">
                  <c:v>15</c:v>
                </c:pt>
                <c:pt idx="143">
                  <c:v>15.1</c:v>
                </c:pt>
                <c:pt idx="144">
                  <c:v>15.2</c:v>
                </c:pt>
                <c:pt idx="145">
                  <c:v>15.3</c:v>
                </c:pt>
                <c:pt idx="146">
                  <c:v>15.4</c:v>
                </c:pt>
                <c:pt idx="147">
                  <c:v>15.5</c:v>
                </c:pt>
                <c:pt idx="148">
                  <c:v>15.7</c:v>
                </c:pt>
                <c:pt idx="149">
                  <c:v>15.8</c:v>
                </c:pt>
                <c:pt idx="150">
                  <c:v>15.9</c:v>
                </c:pt>
                <c:pt idx="151">
                  <c:v>16</c:v>
                </c:pt>
                <c:pt idx="152">
                  <c:v>16.1</c:v>
                </c:pt>
                <c:pt idx="153">
                  <c:v>16.2</c:v>
                </c:pt>
                <c:pt idx="154">
                  <c:v>16.3</c:v>
                </c:pt>
                <c:pt idx="155">
                  <c:v>16.4</c:v>
                </c:pt>
                <c:pt idx="156">
                  <c:v>16.5</c:v>
                </c:pt>
                <c:pt idx="157">
                  <c:v>16.6</c:v>
                </c:pt>
                <c:pt idx="158">
                  <c:v>16.7</c:v>
                </c:pt>
                <c:pt idx="159">
                  <c:v>16.8</c:v>
                </c:pt>
                <c:pt idx="160">
                  <c:v>16.9</c:v>
                </c:pt>
                <c:pt idx="161">
                  <c:v>17</c:v>
                </c:pt>
                <c:pt idx="162">
                  <c:v>17.1</c:v>
                </c:pt>
                <c:pt idx="163">
                  <c:v>17.2</c:v>
                </c:pt>
                <c:pt idx="164">
                  <c:v>17.3</c:v>
                </c:pt>
                <c:pt idx="165">
                  <c:v>17.4</c:v>
                </c:pt>
                <c:pt idx="166">
                  <c:v>17.5</c:v>
                </c:pt>
                <c:pt idx="167">
                  <c:v>17.6</c:v>
                </c:pt>
                <c:pt idx="168">
                  <c:v>17.8</c:v>
                </c:pt>
                <c:pt idx="169">
                  <c:v>17.9</c:v>
                </c:pt>
                <c:pt idx="170">
                  <c:v>18</c:v>
                </c:pt>
                <c:pt idx="171">
                  <c:v>18.1</c:v>
                </c:pt>
                <c:pt idx="172">
                  <c:v>18.2</c:v>
                </c:pt>
                <c:pt idx="173">
                  <c:v>18.3</c:v>
                </c:pt>
                <c:pt idx="174">
                  <c:v>18.4</c:v>
                </c:pt>
                <c:pt idx="175">
                  <c:v>18.5</c:v>
                </c:pt>
                <c:pt idx="176">
                  <c:v>18.6</c:v>
                </c:pt>
                <c:pt idx="177">
                  <c:v>18.7</c:v>
                </c:pt>
                <c:pt idx="178">
                  <c:v>18.8</c:v>
                </c:pt>
                <c:pt idx="179">
                  <c:v>18.9</c:v>
                </c:pt>
                <c:pt idx="180">
                  <c:v>19</c:v>
                </c:pt>
                <c:pt idx="181">
                  <c:v>19.1</c:v>
                </c:pt>
                <c:pt idx="182">
                  <c:v>19.2</c:v>
                </c:pt>
                <c:pt idx="183">
                  <c:v>19.3</c:v>
                </c:pt>
                <c:pt idx="184">
                  <c:v>19.4</c:v>
                </c:pt>
                <c:pt idx="185">
                  <c:v>19.5</c:v>
                </c:pt>
                <c:pt idx="186">
                  <c:v>19.6</c:v>
                </c:pt>
                <c:pt idx="187">
                  <c:v>19.8</c:v>
                </c:pt>
                <c:pt idx="188">
                  <c:v>19.9</c:v>
                </c:pt>
                <c:pt idx="189">
                  <c:v>20</c:v>
                </c:pt>
                <c:pt idx="190">
                  <c:v>20.1</c:v>
                </c:pt>
                <c:pt idx="191">
                  <c:v>20.2</c:v>
                </c:pt>
                <c:pt idx="192">
                  <c:v>20.3</c:v>
                </c:pt>
                <c:pt idx="193">
                  <c:v>20.4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21.9</c:v>
                </c:pt>
                <c:pt idx="208">
                  <c:v>22</c:v>
                </c:pt>
                <c:pt idx="209">
                  <c:v>22.1</c:v>
                </c:pt>
                <c:pt idx="210">
                  <c:v>22.2</c:v>
                </c:pt>
                <c:pt idx="211">
                  <c:v>22.3</c:v>
                </c:pt>
                <c:pt idx="212">
                  <c:v>22.4</c:v>
                </c:pt>
                <c:pt idx="213">
                  <c:v>22.5</c:v>
                </c:pt>
                <c:pt idx="214">
                  <c:v>22.6</c:v>
                </c:pt>
                <c:pt idx="215">
                  <c:v>22.7</c:v>
                </c:pt>
                <c:pt idx="216">
                  <c:v>22.8</c:v>
                </c:pt>
                <c:pt idx="217">
                  <c:v>22.9</c:v>
                </c:pt>
                <c:pt idx="218">
                  <c:v>23</c:v>
                </c:pt>
                <c:pt idx="219">
                  <c:v>23.1</c:v>
                </c:pt>
                <c:pt idx="220">
                  <c:v>23.2</c:v>
                </c:pt>
                <c:pt idx="221">
                  <c:v>23.3</c:v>
                </c:pt>
                <c:pt idx="222">
                  <c:v>23.4</c:v>
                </c:pt>
                <c:pt idx="223">
                  <c:v>23.5</c:v>
                </c:pt>
                <c:pt idx="224">
                  <c:v>23.6</c:v>
                </c:pt>
                <c:pt idx="225">
                  <c:v>23.7</c:v>
                </c:pt>
                <c:pt idx="226">
                  <c:v>23.8</c:v>
                </c:pt>
                <c:pt idx="227">
                  <c:v>24</c:v>
                </c:pt>
                <c:pt idx="228">
                  <c:v>24.1</c:v>
                </c:pt>
                <c:pt idx="229">
                  <c:v>24.2</c:v>
                </c:pt>
                <c:pt idx="230">
                  <c:v>24.3</c:v>
                </c:pt>
                <c:pt idx="231">
                  <c:v>24.4</c:v>
                </c:pt>
                <c:pt idx="232">
                  <c:v>24.5</c:v>
                </c:pt>
                <c:pt idx="233">
                  <c:v>24.6</c:v>
                </c:pt>
                <c:pt idx="234">
                  <c:v>24.7</c:v>
                </c:pt>
                <c:pt idx="235">
                  <c:v>24.8</c:v>
                </c:pt>
                <c:pt idx="236">
                  <c:v>24.9</c:v>
                </c:pt>
                <c:pt idx="237">
                  <c:v>25</c:v>
                </c:pt>
                <c:pt idx="238">
                  <c:v>25.1</c:v>
                </c:pt>
                <c:pt idx="239">
                  <c:v>25.2</c:v>
                </c:pt>
                <c:pt idx="240">
                  <c:v>25.3</c:v>
                </c:pt>
                <c:pt idx="241">
                  <c:v>25.4</c:v>
                </c:pt>
                <c:pt idx="242">
                  <c:v>25.5</c:v>
                </c:pt>
                <c:pt idx="243">
                  <c:v>25.6</c:v>
                </c:pt>
                <c:pt idx="244">
                  <c:v>25.7</c:v>
                </c:pt>
                <c:pt idx="245">
                  <c:v>25.8</c:v>
                </c:pt>
                <c:pt idx="246">
                  <c:v>25.9</c:v>
                </c:pt>
                <c:pt idx="247">
                  <c:v>26.1</c:v>
                </c:pt>
                <c:pt idx="248">
                  <c:v>26.2</c:v>
                </c:pt>
                <c:pt idx="249">
                  <c:v>26.3</c:v>
                </c:pt>
                <c:pt idx="250">
                  <c:v>26.4</c:v>
                </c:pt>
                <c:pt idx="251">
                  <c:v>26.5</c:v>
                </c:pt>
                <c:pt idx="252">
                  <c:v>26.6</c:v>
                </c:pt>
                <c:pt idx="253">
                  <c:v>26.7</c:v>
                </c:pt>
                <c:pt idx="254">
                  <c:v>26.8</c:v>
                </c:pt>
                <c:pt idx="255">
                  <c:v>26.9</c:v>
                </c:pt>
                <c:pt idx="256">
                  <c:v>27</c:v>
                </c:pt>
                <c:pt idx="257">
                  <c:v>27.1</c:v>
                </c:pt>
                <c:pt idx="258">
                  <c:v>27.2</c:v>
                </c:pt>
                <c:pt idx="259">
                  <c:v>27.3</c:v>
                </c:pt>
                <c:pt idx="260">
                  <c:v>27.4</c:v>
                </c:pt>
                <c:pt idx="261">
                  <c:v>27.5</c:v>
                </c:pt>
                <c:pt idx="262">
                  <c:v>27.6</c:v>
                </c:pt>
                <c:pt idx="263">
                  <c:v>27.7</c:v>
                </c:pt>
                <c:pt idx="264">
                  <c:v>27.8</c:v>
                </c:pt>
                <c:pt idx="265">
                  <c:v>27.9</c:v>
                </c:pt>
                <c:pt idx="266">
                  <c:v>28</c:v>
                </c:pt>
                <c:pt idx="267">
                  <c:v>28.2</c:v>
                </c:pt>
                <c:pt idx="268">
                  <c:v>28.3</c:v>
                </c:pt>
                <c:pt idx="269">
                  <c:v>28.4</c:v>
                </c:pt>
                <c:pt idx="270">
                  <c:v>28.5</c:v>
                </c:pt>
                <c:pt idx="271">
                  <c:v>28.6</c:v>
                </c:pt>
                <c:pt idx="272">
                  <c:v>28.7</c:v>
                </c:pt>
                <c:pt idx="273">
                  <c:v>28.8</c:v>
                </c:pt>
                <c:pt idx="274">
                  <c:v>28.9</c:v>
                </c:pt>
                <c:pt idx="275">
                  <c:v>29</c:v>
                </c:pt>
                <c:pt idx="276">
                  <c:v>29.1</c:v>
                </c:pt>
                <c:pt idx="277">
                  <c:v>29.2</c:v>
                </c:pt>
                <c:pt idx="278">
                  <c:v>29.3</c:v>
                </c:pt>
                <c:pt idx="279">
                  <c:v>29.4</c:v>
                </c:pt>
                <c:pt idx="280">
                  <c:v>29.5</c:v>
                </c:pt>
                <c:pt idx="281">
                  <c:v>29.6</c:v>
                </c:pt>
                <c:pt idx="282">
                  <c:v>29.7</c:v>
                </c:pt>
                <c:pt idx="283">
                  <c:v>29.8</c:v>
                </c:pt>
                <c:pt idx="284">
                  <c:v>29.9</c:v>
                </c:pt>
              </c:numCache>
            </c:numRef>
          </c:cat>
          <c:val>
            <c:numRef>
              <c:f>Sheet1!$H$2:$H$286</c:f>
              <c:numCache>
                <c:formatCode>General</c:formatCode>
                <c:ptCount val="285"/>
                <c:pt idx="0">
                  <c:v>37.5</c:v>
                </c:pt>
                <c:pt idx="1">
                  <c:v>37.5</c:v>
                </c:pt>
                <c:pt idx="2">
                  <c:v>37.5</c:v>
                </c:pt>
                <c:pt idx="3">
                  <c:v>37.5</c:v>
                </c:pt>
                <c:pt idx="4">
                  <c:v>37.5</c:v>
                </c:pt>
                <c:pt idx="5">
                  <c:v>37.5</c:v>
                </c:pt>
                <c:pt idx="6">
                  <c:v>37.5</c:v>
                </c:pt>
                <c:pt idx="7">
                  <c:v>37.5</c:v>
                </c:pt>
                <c:pt idx="8">
                  <c:v>37.5</c:v>
                </c:pt>
                <c:pt idx="9">
                  <c:v>37.5</c:v>
                </c:pt>
                <c:pt idx="10">
                  <c:v>37.5</c:v>
                </c:pt>
                <c:pt idx="11">
                  <c:v>37.5</c:v>
                </c:pt>
                <c:pt idx="12">
                  <c:v>37.5</c:v>
                </c:pt>
                <c:pt idx="13">
                  <c:v>37.5</c:v>
                </c:pt>
                <c:pt idx="14">
                  <c:v>37.5</c:v>
                </c:pt>
                <c:pt idx="15">
                  <c:v>37.5</c:v>
                </c:pt>
                <c:pt idx="16">
                  <c:v>37.5</c:v>
                </c:pt>
                <c:pt idx="17">
                  <c:v>37.5</c:v>
                </c:pt>
                <c:pt idx="18">
                  <c:v>37.5</c:v>
                </c:pt>
                <c:pt idx="19">
                  <c:v>37.5</c:v>
                </c:pt>
                <c:pt idx="20">
                  <c:v>37.5</c:v>
                </c:pt>
                <c:pt idx="21">
                  <c:v>37.5</c:v>
                </c:pt>
                <c:pt idx="22">
                  <c:v>37.5</c:v>
                </c:pt>
                <c:pt idx="23">
                  <c:v>37.5</c:v>
                </c:pt>
                <c:pt idx="24">
                  <c:v>37.5</c:v>
                </c:pt>
                <c:pt idx="25">
                  <c:v>37.5</c:v>
                </c:pt>
                <c:pt idx="26">
                  <c:v>37.5</c:v>
                </c:pt>
                <c:pt idx="27">
                  <c:v>37.5</c:v>
                </c:pt>
                <c:pt idx="28">
                  <c:v>37.5</c:v>
                </c:pt>
                <c:pt idx="29">
                  <c:v>37.5</c:v>
                </c:pt>
                <c:pt idx="30">
                  <c:v>37.5</c:v>
                </c:pt>
                <c:pt idx="31">
                  <c:v>37.5</c:v>
                </c:pt>
                <c:pt idx="32">
                  <c:v>37.5</c:v>
                </c:pt>
                <c:pt idx="33">
                  <c:v>37.5</c:v>
                </c:pt>
                <c:pt idx="34">
                  <c:v>37.5</c:v>
                </c:pt>
                <c:pt idx="35">
                  <c:v>37.5</c:v>
                </c:pt>
                <c:pt idx="36">
                  <c:v>37.5</c:v>
                </c:pt>
                <c:pt idx="37">
                  <c:v>37.5</c:v>
                </c:pt>
                <c:pt idx="38">
                  <c:v>37.5</c:v>
                </c:pt>
                <c:pt idx="39">
                  <c:v>37.5</c:v>
                </c:pt>
                <c:pt idx="40">
                  <c:v>37.5</c:v>
                </c:pt>
                <c:pt idx="41">
                  <c:v>37.5</c:v>
                </c:pt>
                <c:pt idx="42">
                  <c:v>37.5</c:v>
                </c:pt>
                <c:pt idx="43">
                  <c:v>37.5</c:v>
                </c:pt>
                <c:pt idx="44">
                  <c:v>37.5</c:v>
                </c:pt>
                <c:pt idx="45">
                  <c:v>37.5</c:v>
                </c:pt>
                <c:pt idx="46">
                  <c:v>37.5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37.5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37.5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37.5</c:v>
                </c:pt>
                <c:pt idx="83">
                  <c:v>37.5</c:v>
                </c:pt>
                <c:pt idx="84">
                  <c:v>37.5</c:v>
                </c:pt>
                <c:pt idx="85">
                  <c:v>37.5</c:v>
                </c:pt>
                <c:pt idx="86">
                  <c:v>37.5</c:v>
                </c:pt>
                <c:pt idx="87">
                  <c:v>37.5</c:v>
                </c:pt>
                <c:pt idx="88">
                  <c:v>37.5</c:v>
                </c:pt>
                <c:pt idx="89">
                  <c:v>37.5</c:v>
                </c:pt>
                <c:pt idx="90">
                  <c:v>37.5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37.5</c:v>
                </c:pt>
                <c:pt idx="99">
                  <c:v>37.5</c:v>
                </c:pt>
                <c:pt idx="100">
                  <c:v>37.5</c:v>
                </c:pt>
                <c:pt idx="101">
                  <c:v>37.5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37.5</c:v>
                </c:pt>
                <c:pt idx="108">
                  <c:v>37.5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37.5</c:v>
                </c:pt>
                <c:pt idx="129">
                  <c:v>37.5</c:v>
                </c:pt>
                <c:pt idx="130">
                  <c:v>37.5</c:v>
                </c:pt>
                <c:pt idx="131">
                  <c:v>37.5</c:v>
                </c:pt>
                <c:pt idx="132">
                  <c:v>37.5</c:v>
                </c:pt>
                <c:pt idx="133">
                  <c:v>37.5</c:v>
                </c:pt>
                <c:pt idx="134">
                  <c:v>37.5</c:v>
                </c:pt>
                <c:pt idx="135">
                  <c:v>37.5</c:v>
                </c:pt>
                <c:pt idx="136">
                  <c:v>37.5</c:v>
                </c:pt>
                <c:pt idx="137">
                  <c:v>37.5</c:v>
                </c:pt>
                <c:pt idx="138">
                  <c:v>37.5</c:v>
                </c:pt>
                <c:pt idx="139">
                  <c:v>37.5</c:v>
                </c:pt>
                <c:pt idx="140">
                  <c:v>37.5</c:v>
                </c:pt>
                <c:pt idx="141">
                  <c:v>37.5</c:v>
                </c:pt>
                <c:pt idx="142">
                  <c:v>37.5</c:v>
                </c:pt>
                <c:pt idx="143">
                  <c:v>37.5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37.5</c:v>
                </c:pt>
                <c:pt idx="150">
                  <c:v>37.5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37.5</c:v>
                </c:pt>
                <c:pt idx="166">
                  <c:v>37.5</c:v>
                </c:pt>
                <c:pt idx="167">
                  <c:v>37.5</c:v>
                </c:pt>
                <c:pt idx="168">
                  <c:v>37.5</c:v>
                </c:pt>
                <c:pt idx="169">
                  <c:v>37.5</c:v>
                </c:pt>
                <c:pt idx="170">
                  <c:v>37.5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37.5</c:v>
                </c:pt>
                <c:pt idx="177">
                  <c:v>37.5</c:v>
                </c:pt>
                <c:pt idx="178">
                  <c:v>37.5</c:v>
                </c:pt>
                <c:pt idx="179">
                  <c:v>37.5</c:v>
                </c:pt>
                <c:pt idx="180">
                  <c:v>37.5</c:v>
                </c:pt>
                <c:pt idx="181">
                  <c:v>37.5</c:v>
                </c:pt>
                <c:pt idx="182">
                  <c:v>37.5</c:v>
                </c:pt>
                <c:pt idx="183">
                  <c:v>37.5</c:v>
                </c:pt>
                <c:pt idx="184">
                  <c:v>37.5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37.5</c:v>
                </c:pt>
                <c:pt idx="216">
                  <c:v>37.5</c:v>
                </c:pt>
                <c:pt idx="217">
                  <c:v>37.5</c:v>
                </c:pt>
                <c:pt idx="218">
                  <c:v>37.5</c:v>
                </c:pt>
                <c:pt idx="219">
                  <c:v>37.5</c:v>
                </c:pt>
                <c:pt idx="220">
                  <c:v>37.5</c:v>
                </c:pt>
                <c:pt idx="221">
                  <c:v>37.5</c:v>
                </c:pt>
                <c:pt idx="222">
                  <c:v>37.5</c:v>
                </c:pt>
                <c:pt idx="223">
                  <c:v>37.5</c:v>
                </c:pt>
                <c:pt idx="224">
                  <c:v>37.5</c:v>
                </c:pt>
                <c:pt idx="225">
                  <c:v>37.5</c:v>
                </c:pt>
                <c:pt idx="226">
                  <c:v>37.5</c:v>
                </c:pt>
                <c:pt idx="227">
                  <c:v>37.5</c:v>
                </c:pt>
                <c:pt idx="228">
                  <c:v>37.5</c:v>
                </c:pt>
                <c:pt idx="229">
                  <c:v>37.5</c:v>
                </c:pt>
                <c:pt idx="230">
                  <c:v>37.5</c:v>
                </c:pt>
                <c:pt idx="231">
                  <c:v>37.5</c:v>
                </c:pt>
                <c:pt idx="232">
                  <c:v>37.5</c:v>
                </c:pt>
                <c:pt idx="233">
                  <c:v>37.5</c:v>
                </c:pt>
                <c:pt idx="234">
                  <c:v>37.5</c:v>
                </c:pt>
                <c:pt idx="235">
                  <c:v>37.5</c:v>
                </c:pt>
                <c:pt idx="236">
                  <c:v>37.5</c:v>
                </c:pt>
                <c:pt idx="237">
                  <c:v>37.5</c:v>
                </c:pt>
                <c:pt idx="238">
                  <c:v>37.5</c:v>
                </c:pt>
                <c:pt idx="239">
                  <c:v>37.5</c:v>
                </c:pt>
                <c:pt idx="240">
                  <c:v>37.5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37.5</c:v>
                </c:pt>
                <c:pt idx="245">
                  <c:v>37.5</c:v>
                </c:pt>
                <c:pt idx="246">
                  <c:v>37.5</c:v>
                </c:pt>
                <c:pt idx="247">
                  <c:v>37.5</c:v>
                </c:pt>
                <c:pt idx="248">
                  <c:v>37.5</c:v>
                </c:pt>
                <c:pt idx="249">
                  <c:v>37.5</c:v>
                </c:pt>
                <c:pt idx="250">
                  <c:v>37.5</c:v>
                </c:pt>
                <c:pt idx="251">
                  <c:v>37.5</c:v>
                </c:pt>
                <c:pt idx="252">
                  <c:v>37.5</c:v>
                </c:pt>
                <c:pt idx="253">
                  <c:v>37.5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37.5</c:v>
                </c:pt>
                <c:pt idx="266">
                  <c:v>37.5</c:v>
                </c:pt>
                <c:pt idx="267">
                  <c:v>37.5</c:v>
                </c:pt>
                <c:pt idx="268">
                  <c:v>37.5</c:v>
                </c:pt>
                <c:pt idx="269">
                  <c:v>37.5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37.5</c:v>
                </c:pt>
                <c:pt idx="274">
                  <c:v>37.5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37.5</c:v>
                </c:pt>
                <c:pt idx="284">
                  <c:v>37.5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1001"/>
        <c:axId val="1002"/>
      </c:lineChart>
      <c:catAx>
        <c:axId val="100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Time (minutes)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out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2"/>
        <c:crosses val="autoZero"/>
        <c:auto val="1"/>
        <c:lblAlgn val="ctr"/>
        <c:lblOffset val="100"/>
        <c:tickLblSkip val="23"/>
        <c:tickMarkSkip val="1"/>
        <c:noMultiLvlLbl val="0"/>
      </c:catAx>
      <c:valAx>
        <c:axId val="1002"/>
        <c:scaling>
          <c:orientation val="minMax"/>
          <c:min val="2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5400000" scaled="0"/>
              </a:gra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</a:gsLst>
                <a:lin ang="5400000" scaled="0"/>
              </a:gradFill>
              <a:round/>
            </a:ln>
          </c:spPr>
        </c:minorGridlines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Temperature (C)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4761" y="0"/>
      <a:ext cx="10006012" cy="5410199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 Term (Kp=14)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rgbClr val="EE36FF"/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Sheet1!$J$2:$J$286</c:f>
              <c:numCache>
                <c:formatCode>General</c:formatCode>
                <c:ptCount val="285"/>
                <c:pt idx="0">
                  <c:v>12.600000000000001</c:v>
                </c:pt>
                <c:pt idx="1">
                  <c:v>12.600000000000001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12.600000000000001</c:v>
                </c:pt>
                <c:pt idx="6">
                  <c:v>12.5</c:v>
                </c:pt>
                <c:pt idx="7">
                  <c:v>12.5</c:v>
                </c:pt>
                <c:pt idx="8">
                  <c:v>12.399999999999999</c:v>
                </c:pt>
                <c:pt idx="9">
                  <c:v>12.399999999999999</c:v>
                </c:pt>
                <c:pt idx="10">
                  <c:v>12.3</c:v>
                </c:pt>
                <c:pt idx="11">
                  <c:v>12.2</c:v>
                </c:pt>
                <c:pt idx="12">
                  <c:v>12.2</c:v>
                </c:pt>
                <c:pt idx="13">
                  <c:v>11.899999999999999</c:v>
                </c:pt>
                <c:pt idx="14">
                  <c:v>11.899999999999999</c:v>
                </c:pt>
                <c:pt idx="15">
                  <c:v>11.7</c:v>
                </c:pt>
                <c:pt idx="16">
                  <c:v>11.600000000000001</c:v>
                </c:pt>
                <c:pt idx="17">
                  <c:v>11.5</c:v>
                </c:pt>
                <c:pt idx="18">
                  <c:v>11.2</c:v>
                </c:pt>
                <c:pt idx="19">
                  <c:v>11.2</c:v>
                </c:pt>
                <c:pt idx="20">
                  <c:v>11</c:v>
                </c:pt>
                <c:pt idx="21">
                  <c:v>10.899999999999999</c:v>
                </c:pt>
                <c:pt idx="22">
                  <c:v>10.600000000000001</c:v>
                </c:pt>
                <c:pt idx="23">
                  <c:v>10.5</c:v>
                </c:pt>
                <c:pt idx="24">
                  <c:v>10.399999999999999</c:v>
                </c:pt>
                <c:pt idx="25">
                  <c:v>10</c:v>
                </c:pt>
                <c:pt idx="26">
                  <c:v>9.899999999999999</c:v>
                </c:pt>
                <c:pt idx="27">
                  <c:v>9.5</c:v>
                </c:pt>
                <c:pt idx="28">
                  <c:v>9.3</c:v>
                </c:pt>
                <c:pt idx="29">
                  <c:v>9.2</c:v>
                </c:pt>
                <c:pt idx="30">
                  <c:v>9</c:v>
                </c:pt>
                <c:pt idx="31">
                  <c:v>9</c:v>
                </c:pt>
                <c:pt idx="32">
                  <c:v>8.2</c:v>
                </c:pt>
                <c:pt idx="33">
                  <c:v>8.100000000000001</c:v>
                </c:pt>
                <c:pt idx="34">
                  <c:v>7.899999999999999</c:v>
                </c:pt>
                <c:pt idx="35">
                  <c:v>7.699999999999999</c:v>
                </c:pt>
                <c:pt idx="36">
                  <c:v>7.399999999999999</c:v>
                </c:pt>
                <c:pt idx="37">
                  <c:v>7.399999999999999</c:v>
                </c:pt>
                <c:pt idx="38">
                  <c:v>7.199999999999999</c:v>
                </c:pt>
                <c:pt idx="39">
                  <c:v>7</c:v>
                </c:pt>
                <c:pt idx="40">
                  <c:v>6.600000000000001</c:v>
                </c:pt>
                <c:pt idx="41">
                  <c:v>6.5</c:v>
                </c:pt>
                <c:pt idx="42">
                  <c:v>5.899999999999999</c:v>
                </c:pt>
                <c:pt idx="43">
                  <c:v>5.699999999999999</c:v>
                </c:pt>
                <c:pt idx="44">
                  <c:v>5.399999999999999</c:v>
                </c:pt>
                <c:pt idx="45">
                  <c:v>5.399999999999999</c:v>
                </c:pt>
                <c:pt idx="46">
                  <c:v>5</c:v>
                </c:pt>
                <c:pt idx="47">
                  <c:v>4.799999999999997</c:v>
                </c:pt>
                <c:pt idx="48">
                  <c:v>4.799999999999997</c:v>
                </c:pt>
                <c:pt idx="49">
                  <c:v>4.5</c:v>
                </c:pt>
                <c:pt idx="50">
                  <c:v>3.8999999999999986</c:v>
                </c:pt>
                <c:pt idx="51">
                  <c:v>3.700000000000003</c:v>
                </c:pt>
                <c:pt idx="52">
                  <c:v>3.5</c:v>
                </c:pt>
                <c:pt idx="53">
                  <c:v>3.299999999999997</c:v>
                </c:pt>
                <c:pt idx="54">
                  <c:v>3.299999999999997</c:v>
                </c:pt>
                <c:pt idx="55">
                  <c:v>3</c:v>
                </c:pt>
                <c:pt idx="56">
                  <c:v>2.700000000000003</c:v>
                </c:pt>
                <c:pt idx="57">
                  <c:v>2.299999999999997</c:v>
                </c:pt>
                <c:pt idx="58">
                  <c:v>2.200000000000003</c:v>
                </c:pt>
                <c:pt idx="59">
                  <c:v>2.299999999999997</c:v>
                </c:pt>
                <c:pt idx="60">
                  <c:v>1.8999999999999986</c:v>
                </c:pt>
                <c:pt idx="61">
                  <c:v>1.8999999999999986</c:v>
                </c:pt>
                <c:pt idx="62">
                  <c:v>1.6000000000000014</c:v>
                </c:pt>
                <c:pt idx="63">
                  <c:v>1.2999999999999972</c:v>
                </c:pt>
                <c:pt idx="64">
                  <c:v>1.1000000000000014</c:v>
                </c:pt>
                <c:pt idx="65">
                  <c:v>1</c:v>
                </c:pt>
                <c:pt idx="66">
                  <c:v>0.8999999999999986</c:v>
                </c:pt>
                <c:pt idx="67">
                  <c:v>0.6000000000000014</c:v>
                </c:pt>
                <c:pt idx="68">
                  <c:v>0.7000000000000028</c:v>
                </c:pt>
                <c:pt idx="69">
                  <c:v>0.29999999999999716</c:v>
                </c:pt>
                <c:pt idx="70">
                  <c:v>0.20000000000000284</c:v>
                </c:pt>
                <c:pt idx="71">
                  <c:v>0</c:v>
                </c:pt>
                <c:pt idx="72">
                  <c:v>-0.20000000000000284</c:v>
                </c:pt>
                <c:pt idx="73">
                  <c:v>-0.29999999999999716</c:v>
                </c:pt>
                <c:pt idx="74">
                  <c:v>-0.29999999999999716</c:v>
                </c:pt>
                <c:pt idx="75">
                  <c:v>-0.5</c:v>
                </c:pt>
                <c:pt idx="76">
                  <c:v>-0.29999999999999716</c:v>
                </c:pt>
                <c:pt idx="77">
                  <c:v>-0.7000000000000028</c:v>
                </c:pt>
                <c:pt idx="78">
                  <c:v>-0.6000000000000014</c:v>
                </c:pt>
                <c:pt idx="79">
                  <c:v>-0.7999999999999972</c:v>
                </c:pt>
                <c:pt idx="80">
                  <c:v>-0.7000000000000028</c:v>
                </c:pt>
                <c:pt idx="81">
                  <c:v>-0.7999999999999972</c:v>
                </c:pt>
                <c:pt idx="82">
                  <c:v>-1.1000000000000014</c:v>
                </c:pt>
                <c:pt idx="83">
                  <c:v>-1</c:v>
                </c:pt>
                <c:pt idx="84">
                  <c:v>-1</c:v>
                </c:pt>
                <c:pt idx="85">
                  <c:v>-1.1000000000000014</c:v>
                </c:pt>
                <c:pt idx="86">
                  <c:v>-1.2000000000000028</c:v>
                </c:pt>
                <c:pt idx="87">
                  <c:v>-1.2000000000000028</c:v>
                </c:pt>
                <c:pt idx="88">
                  <c:v>-1.2999999999999972</c:v>
                </c:pt>
                <c:pt idx="89">
                  <c:v>-1.2999999999999972</c:v>
                </c:pt>
                <c:pt idx="90">
                  <c:v>-1.5</c:v>
                </c:pt>
                <c:pt idx="91">
                  <c:v>-1.3999999999999986</c:v>
                </c:pt>
                <c:pt idx="92">
                  <c:v>-1.1000000000000014</c:v>
                </c:pt>
                <c:pt idx="93">
                  <c:v>-1.2000000000000028</c:v>
                </c:pt>
                <c:pt idx="94">
                  <c:v>-1.2999999999999972</c:v>
                </c:pt>
                <c:pt idx="95">
                  <c:v>-1.6000000000000014</c:v>
                </c:pt>
                <c:pt idx="96">
                  <c:v>-1.2999999999999972</c:v>
                </c:pt>
                <c:pt idx="97">
                  <c:v>-1.5</c:v>
                </c:pt>
                <c:pt idx="98">
                  <c:v>-1.2000000000000028</c:v>
                </c:pt>
                <c:pt idx="99">
                  <c:v>-1.1000000000000014</c:v>
                </c:pt>
                <c:pt idx="100">
                  <c:v>-1.2000000000000028</c:v>
                </c:pt>
                <c:pt idx="101">
                  <c:v>-1.1000000000000014</c:v>
                </c:pt>
                <c:pt idx="102">
                  <c:v>-1.5</c:v>
                </c:pt>
                <c:pt idx="103">
                  <c:v>-1.2000000000000028</c:v>
                </c:pt>
                <c:pt idx="104">
                  <c:v>-1.5</c:v>
                </c:pt>
                <c:pt idx="105">
                  <c:v>-1.2999999999999972</c:v>
                </c:pt>
                <c:pt idx="106">
                  <c:v>-1.1000000000000014</c:v>
                </c:pt>
                <c:pt idx="107">
                  <c:v>-1.2000000000000028</c:v>
                </c:pt>
                <c:pt idx="108">
                  <c:v>-1.2000000000000028</c:v>
                </c:pt>
                <c:pt idx="109">
                  <c:v>-1.1000000000000014</c:v>
                </c:pt>
                <c:pt idx="110">
                  <c:v>-1</c:v>
                </c:pt>
                <c:pt idx="111">
                  <c:v>-1.1000000000000014</c:v>
                </c:pt>
                <c:pt idx="112">
                  <c:v>-0.7999999999999972</c:v>
                </c:pt>
                <c:pt idx="113">
                  <c:v>-1</c:v>
                </c:pt>
                <c:pt idx="114">
                  <c:v>-0.8999999999999986</c:v>
                </c:pt>
                <c:pt idx="115">
                  <c:v>-0.8999999999999986</c:v>
                </c:pt>
                <c:pt idx="116">
                  <c:v>-0.7999999999999972</c:v>
                </c:pt>
                <c:pt idx="117">
                  <c:v>-0.8999999999999986</c:v>
                </c:pt>
                <c:pt idx="118">
                  <c:v>-0.7999999999999972</c:v>
                </c:pt>
                <c:pt idx="119">
                  <c:v>-0.7999999999999972</c:v>
                </c:pt>
                <c:pt idx="120">
                  <c:v>-0.7000000000000028</c:v>
                </c:pt>
                <c:pt idx="121">
                  <c:v>-0.6000000000000014</c:v>
                </c:pt>
                <c:pt idx="122">
                  <c:v>-0.6000000000000014</c:v>
                </c:pt>
                <c:pt idx="123">
                  <c:v>-0.6000000000000014</c:v>
                </c:pt>
                <c:pt idx="124">
                  <c:v>-0.7000000000000028</c:v>
                </c:pt>
                <c:pt idx="125">
                  <c:v>-0.7000000000000028</c:v>
                </c:pt>
                <c:pt idx="126">
                  <c:v>-0.5</c:v>
                </c:pt>
                <c:pt idx="127">
                  <c:v>-0.5</c:v>
                </c:pt>
                <c:pt idx="128">
                  <c:v>-0.6000000000000014</c:v>
                </c:pt>
                <c:pt idx="129">
                  <c:v>-0.29999999999999716</c:v>
                </c:pt>
                <c:pt idx="130">
                  <c:v>-0.29999999999999716</c:v>
                </c:pt>
                <c:pt idx="131">
                  <c:v>-0.20000000000000284</c:v>
                </c:pt>
                <c:pt idx="132">
                  <c:v>-0.20000000000000284</c:v>
                </c:pt>
                <c:pt idx="133">
                  <c:v>-0.10000000000000142</c:v>
                </c:pt>
                <c:pt idx="134">
                  <c:v>0</c:v>
                </c:pt>
                <c:pt idx="135">
                  <c:v>-0.10000000000000142</c:v>
                </c:pt>
                <c:pt idx="136">
                  <c:v>-0.10000000000000142</c:v>
                </c:pt>
                <c:pt idx="137">
                  <c:v>-0.10000000000000142</c:v>
                </c:pt>
                <c:pt idx="138">
                  <c:v>0</c:v>
                </c:pt>
                <c:pt idx="139">
                  <c:v>0.29999999999999716</c:v>
                </c:pt>
                <c:pt idx="140">
                  <c:v>0</c:v>
                </c:pt>
                <c:pt idx="141">
                  <c:v>0.10000000000000142</c:v>
                </c:pt>
                <c:pt idx="142">
                  <c:v>0.10000000000000142</c:v>
                </c:pt>
                <c:pt idx="143">
                  <c:v>0.20000000000000284</c:v>
                </c:pt>
                <c:pt idx="144">
                  <c:v>0.29999999999999716</c:v>
                </c:pt>
                <c:pt idx="145">
                  <c:v>0.20000000000000284</c:v>
                </c:pt>
                <c:pt idx="146">
                  <c:v>0.3999999999999986</c:v>
                </c:pt>
                <c:pt idx="147">
                  <c:v>0.3999999999999986</c:v>
                </c:pt>
                <c:pt idx="148">
                  <c:v>0.29999999999999716</c:v>
                </c:pt>
                <c:pt idx="149">
                  <c:v>0.29999999999999716</c:v>
                </c:pt>
                <c:pt idx="150">
                  <c:v>0.6000000000000014</c:v>
                </c:pt>
                <c:pt idx="151">
                  <c:v>0.5</c:v>
                </c:pt>
                <c:pt idx="152">
                  <c:v>0.5</c:v>
                </c:pt>
                <c:pt idx="153">
                  <c:v>0.3999999999999986</c:v>
                </c:pt>
                <c:pt idx="154">
                  <c:v>0.3999999999999986</c:v>
                </c:pt>
                <c:pt idx="155">
                  <c:v>0.6000000000000014</c:v>
                </c:pt>
                <c:pt idx="156">
                  <c:v>0.7000000000000028</c:v>
                </c:pt>
                <c:pt idx="157">
                  <c:v>0.7000000000000028</c:v>
                </c:pt>
                <c:pt idx="158">
                  <c:v>0.7000000000000028</c:v>
                </c:pt>
                <c:pt idx="159">
                  <c:v>0.7000000000000028</c:v>
                </c:pt>
                <c:pt idx="160">
                  <c:v>0.7000000000000028</c:v>
                </c:pt>
                <c:pt idx="161">
                  <c:v>0.7000000000000028</c:v>
                </c:pt>
                <c:pt idx="162">
                  <c:v>0.7000000000000028</c:v>
                </c:pt>
                <c:pt idx="163">
                  <c:v>0.7999999999999972</c:v>
                </c:pt>
                <c:pt idx="164">
                  <c:v>0.7000000000000028</c:v>
                </c:pt>
                <c:pt idx="165">
                  <c:v>0.7999999999999972</c:v>
                </c:pt>
                <c:pt idx="166">
                  <c:v>0.8999999999999986</c:v>
                </c:pt>
                <c:pt idx="167">
                  <c:v>0.8999999999999986</c:v>
                </c:pt>
                <c:pt idx="168">
                  <c:v>1.2999999999999972</c:v>
                </c:pt>
                <c:pt idx="169">
                  <c:v>0.7999999999999972</c:v>
                </c:pt>
                <c:pt idx="170">
                  <c:v>0.7999999999999972</c:v>
                </c:pt>
                <c:pt idx="171">
                  <c:v>0.7999999999999972</c:v>
                </c:pt>
                <c:pt idx="172">
                  <c:v>0.7999999999999972</c:v>
                </c:pt>
                <c:pt idx="173">
                  <c:v>0.8999999999999986</c:v>
                </c:pt>
                <c:pt idx="174">
                  <c:v>0.7999999999999972</c:v>
                </c:pt>
                <c:pt idx="175">
                  <c:v>0.7000000000000028</c:v>
                </c:pt>
                <c:pt idx="176">
                  <c:v>1.1000000000000014</c:v>
                </c:pt>
                <c:pt idx="177">
                  <c:v>0.8999999999999986</c:v>
                </c:pt>
                <c:pt idx="178">
                  <c:v>0.8999999999999986</c:v>
                </c:pt>
                <c:pt idx="179">
                  <c:v>0.8999999999999986</c:v>
                </c:pt>
                <c:pt idx="180">
                  <c:v>0.8999999999999986</c:v>
                </c:pt>
                <c:pt idx="181">
                  <c:v>0.7999999999999972</c:v>
                </c:pt>
                <c:pt idx="182">
                  <c:v>0.7000000000000028</c:v>
                </c:pt>
                <c:pt idx="183">
                  <c:v>0.8999999999999986</c:v>
                </c:pt>
                <c:pt idx="184">
                  <c:v>1</c:v>
                </c:pt>
                <c:pt idx="185">
                  <c:v>0.8999999999999986</c:v>
                </c:pt>
                <c:pt idx="186">
                  <c:v>0.8999999999999986</c:v>
                </c:pt>
                <c:pt idx="187">
                  <c:v>0.7999999999999972</c:v>
                </c:pt>
                <c:pt idx="188">
                  <c:v>0.7999999999999972</c:v>
                </c:pt>
                <c:pt idx="189">
                  <c:v>0.8999999999999986</c:v>
                </c:pt>
                <c:pt idx="190">
                  <c:v>0.7999999999999972</c:v>
                </c:pt>
                <c:pt idx="191">
                  <c:v>1.3999999999999986</c:v>
                </c:pt>
                <c:pt idx="192">
                  <c:v>0.7000000000000028</c:v>
                </c:pt>
                <c:pt idx="193">
                  <c:v>0.7999999999999972</c:v>
                </c:pt>
                <c:pt idx="194">
                  <c:v>0.8999999999999986</c:v>
                </c:pt>
                <c:pt idx="195">
                  <c:v>0.8999999999999986</c:v>
                </c:pt>
                <c:pt idx="196">
                  <c:v>0.8999999999999986</c:v>
                </c:pt>
                <c:pt idx="197">
                  <c:v>1</c:v>
                </c:pt>
                <c:pt idx="198">
                  <c:v>0.7000000000000028</c:v>
                </c:pt>
                <c:pt idx="199">
                  <c:v>1</c:v>
                </c:pt>
                <c:pt idx="200">
                  <c:v>0.7999999999999972</c:v>
                </c:pt>
                <c:pt idx="201">
                  <c:v>1</c:v>
                </c:pt>
                <c:pt idx="202">
                  <c:v>0.7000000000000028</c:v>
                </c:pt>
                <c:pt idx="203">
                  <c:v>0.7999999999999972</c:v>
                </c:pt>
                <c:pt idx="204">
                  <c:v>0.7000000000000028</c:v>
                </c:pt>
                <c:pt idx="205">
                  <c:v>0.7999999999999972</c:v>
                </c:pt>
                <c:pt idx="206">
                  <c:v>0.8999999999999986</c:v>
                </c:pt>
                <c:pt idx="207">
                  <c:v>0.7000000000000028</c:v>
                </c:pt>
                <c:pt idx="208">
                  <c:v>0.7999999999999972</c:v>
                </c:pt>
                <c:pt idx="209">
                  <c:v>1</c:v>
                </c:pt>
                <c:pt idx="210">
                  <c:v>0.7000000000000028</c:v>
                </c:pt>
                <c:pt idx="211">
                  <c:v>0.8999999999999986</c:v>
                </c:pt>
                <c:pt idx="212">
                  <c:v>0.7000000000000028</c:v>
                </c:pt>
                <c:pt idx="213">
                  <c:v>0.7000000000000028</c:v>
                </c:pt>
                <c:pt idx="214">
                  <c:v>0.6000000000000014</c:v>
                </c:pt>
                <c:pt idx="215">
                  <c:v>0.7999999999999972</c:v>
                </c:pt>
                <c:pt idx="216">
                  <c:v>0.6000000000000014</c:v>
                </c:pt>
                <c:pt idx="217">
                  <c:v>0.7000000000000028</c:v>
                </c:pt>
                <c:pt idx="218">
                  <c:v>1.1000000000000014</c:v>
                </c:pt>
                <c:pt idx="219">
                  <c:v>0.5</c:v>
                </c:pt>
                <c:pt idx="220">
                  <c:v>0.6000000000000014</c:v>
                </c:pt>
                <c:pt idx="221">
                  <c:v>0.7999999999999972</c:v>
                </c:pt>
                <c:pt idx="222">
                  <c:v>0.5</c:v>
                </c:pt>
                <c:pt idx="223">
                  <c:v>0.6000000000000014</c:v>
                </c:pt>
                <c:pt idx="224">
                  <c:v>0.7000000000000028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0.3999999999999986</c:v>
                </c:pt>
                <c:pt idx="229">
                  <c:v>0.8999999999999986</c:v>
                </c:pt>
                <c:pt idx="230">
                  <c:v>0.5</c:v>
                </c:pt>
                <c:pt idx="231">
                  <c:v>0.29999999999999716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0.6000000000000014</c:v>
                </c:pt>
                <c:pt idx="236">
                  <c:v>0.29999999999999716</c:v>
                </c:pt>
                <c:pt idx="237">
                  <c:v>0.5</c:v>
                </c:pt>
                <c:pt idx="238">
                  <c:v>0.29999999999999716</c:v>
                </c:pt>
                <c:pt idx="239">
                  <c:v>0.3999999999999986</c:v>
                </c:pt>
                <c:pt idx="240">
                  <c:v>0.6000000000000014</c:v>
                </c:pt>
                <c:pt idx="241">
                  <c:v>0.6000000000000014</c:v>
                </c:pt>
                <c:pt idx="242">
                  <c:v>0.3999999999999986</c:v>
                </c:pt>
                <c:pt idx="243">
                  <c:v>0.29999999999999716</c:v>
                </c:pt>
                <c:pt idx="244">
                  <c:v>0.29999999999999716</c:v>
                </c:pt>
                <c:pt idx="245">
                  <c:v>0.29999999999999716</c:v>
                </c:pt>
                <c:pt idx="246">
                  <c:v>0.3999999999999986</c:v>
                </c:pt>
                <c:pt idx="247">
                  <c:v>0.29999999999999716</c:v>
                </c:pt>
                <c:pt idx="248">
                  <c:v>0.10000000000000142</c:v>
                </c:pt>
                <c:pt idx="249">
                  <c:v>0.29999999999999716</c:v>
                </c:pt>
                <c:pt idx="250">
                  <c:v>0.10000000000000142</c:v>
                </c:pt>
                <c:pt idx="251">
                  <c:v>-0.10000000000000142</c:v>
                </c:pt>
                <c:pt idx="252">
                  <c:v>0.20000000000000284</c:v>
                </c:pt>
                <c:pt idx="253">
                  <c:v>0.10000000000000142</c:v>
                </c:pt>
                <c:pt idx="254">
                  <c:v>0.29999999999999716</c:v>
                </c:pt>
                <c:pt idx="255">
                  <c:v>0.10000000000000142</c:v>
                </c:pt>
                <c:pt idx="256">
                  <c:v>0.20000000000000284</c:v>
                </c:pt>
                <c:pt idx="257">
                  <c:v>0.29999999999999716</c:v>
                </c:pt>
                <c:pt idx="258">
                  <c:v>0.29999999999999716</c:v>
                </c:pt>
                <c:pt idx="259">
                  <c:v>-0.10000000000000142</c:v>
                </c:pt>
                <c:pt idx="260">
                  <c:v>-0.29999999999999716</c:v>
                </c:pt>
                <c:pt idx="261">
                  <c:v>0.20000000000000284</c:v>
                </c:pt>
                <c:pt idx="262">
                  <c:v>0.10000000000000142</c:v>
                </c:pt>
                <c:pt idx="263">
                  <c:v>0.20000000000000284</c:v>
                </c:pt>
                <c:pt idx="264">
                  <c:v>0.10000000000000142</c:v>
                </c:pt>
                <c:pt idx="265">
                  <c:v>0.3999999999999986</c:v>
                </c:pt>
                <c:pt idx="266">
                  <c:v>0.10000000000000142</c:v>
                </c:pt>
                <c:pt idx="267">
                  <c:v>0.10000000000000142</c:v>
                </c:pt>
                <c:pt idx="268">
                  <c:v>0.10000000000000142</c:v>
                </c:pt>
                <c:pt idx="269">
                  <c:v>0.10000000000000142</c:v>
                </c:pt>
                <c:pt idx="270">
                  <c:v>0.10000000000000142</c:v>
                </c:pt>
                <c:pt idx="271">
                  <c:v>-0.10000000000000142</c:v>
                </c:pt>
                <c:pt idx="272">
                  <c:v>0.20000000000000284</c:v>
                </c:pt>
                <c:pt idx="273">
                  <c:v>0.20000000000000284</c:v>
                </c:pt>
                <c:pt idx="274">
                  <c:v>0.10000000000000142</c:v>
                </c:pt>
                <c:pt idx="275">
                  <c:v>0.29999999999999716</c:v>
                </c:pt>
                <c:pt idx="276">
                  <c:v>0.29999999999999716</c:v>
                </c:pt>
                <c:pt idx="277">
                  <c:v>0.10000000000000142</c:v>
                </c:pt>
                <c:pt idx="278">
                  <c:v>0.3999999999999986</c:v>
                </c:pt>
                <c:pt idx="279">
                  <c:v>0.29999999999999716</c:v>
                </c:pt>
                <c:pt idx="280">
                  <c:v>0.10000000000000142</c:v>
                </c:pt>
                <c:pt idx="281">
                  <c:v>0.20000000000000284</c:v>
                </c:pt>
                <c:pt idx="282">
                  <c:v>0.20000000000000284</c:v>
                </c:pt>
                <c:pt idx="283">
                  <c:v>0.10000000000000142</c:v>
                </c:pt>
                <c:pt idx="284">
                  <c:v>0.20000000000000284</c:v>
                </c:pt>
              </c:numCache>
            </c:numRef>
          </c:cat>
          <c:val>
            <c:numRef>
              <c:f>Sheet1!$B$2:$B$286</c:f>
              <c:numCache>
                <c:formatCode>General</c:formatCode>
                <c:ptCount val="285"/>
                <c:pt idx="0">
                  <c:v>176.87</c:v>
                </c:pt>
                <c:pt idx="1">
                  <c:v>175.93</c:v>
                </c:pt>
                <c:pt idx="2">
                  <c:v>175</c:v>
                </c:pt>
                <c:pt idx="3">
                  <c:v>176.4</c:v>
                </c:pt>
                <c:pt idx="4">
                  <c:v>176.87</c:v>
                </c:pt>
                <c:pt idx="5">
                  <c:v>175.93</c:v>
                </c:pt>
                <c:pt idx="6">
                  <c:v>175.47</c:v>
                </c:pt>
                <c:pt idx="7">
                  <c:v>175.93</c:v>
                </c:pt>
                <c:pt idx="8">
                  <c:v>174.07</c:v>
                </c:pt>
                <c:pt idx="9">
                  <c:v>174.53</c:v>
                </c:pt>
                <c:pt idx="10">
                  <c:v>172.2</c:v>
                </c:pt>
                <c:pt idx="11">
                  <c:v>169.87</c:v>
                </c:pt>
                <c:pt idx="12">
                  <c:v>170.33</c:v>
                </c:pt>
                <c:pt idx="13">
                  <c:v>168.47</c:v>
                </c:pt>
                <c:pt idx="14">
                  <c:v>167.53</c:v>
                </c:pt>
                <c:pt idx="15">
                  <c:v>165.2</c:v>
                </c:pt>
                <c:pt idx="16">
                  <c:v>164.27</c:v>
                </c:pt>
                <c:pt idx="17">
                  <c:v>160.53</c:v>
                </c:pt>
                <c:pt idx="18">
                  <c:v>159.13</c:v>
                </c:pt>
                <c:pt idx="19">
                  <c:v>157.73</c:v>
                </c:pt>
                <c:pt idx="20">
                  <c:v>154.47</c:v>
                </c:pt>
                <c:pt idx="21">
                  <c:v>154.47</c:v>
                </c:pt>
                <c:pt idx="22">
                  <c:v>149.33</c:v>
                </c:pt>
                <c:pt idx="23">
                  <c:v>148.4</c:v>
                </c:pt>
                <c:pt idx="24">
                  <c:v>144.2</c:v>
                </c:pt>
                <c:pt idx="25">
                  <c:v>141.4</c:v>
                </c:pt>
                <c:pt idx="26">
                  <c:v>139.07</c:v>
                </c:pt>
                <c:pt idx="27">
                  <c:v>135.33</c:v>
                </c:pt>
                <c:pt idx="28">
                  <c:v>133</c:v>
                </c:pt>
                <c:pt idx="29">
                  <c:v>129.73</c:v>
                </c:pt>
                <c:pt idx="30">
                  <c:v>127.4</c:v>
                </c:pt>
                <c:pt idx="31">
                  <c:v>122.73</c:v>
                </c:pt>
                <c:pt idx="32">
                  <c:v>119</c:v>
                </c:pt>
                <c:pt idx="33">
                  <c:v>116.67</c:v>
                </c:pt>
                <c:pt idx="34">
                  <c:v>114.33</c:v>
                </c:pt>
                <c:pt idx="35">
                  <c:v>111.53</c:v>
                </c:pt>
                <c:pt idx="36">
                  <c:v>105.93</c:v>
                </c:pt>
                <c:pt idx="37">
                  <c:v>103.6</c:v>
                </c:pt>
                <c:pt idx="38">
                  <c:v>101.27</c:v>
                </c:pt>
                <c:pt idx="39">
                  <c:v>97.53</c:v>
                </c:pt>
                <c:pt idx="40">
                  <c:v>93.8</c:v>
                </c:pt>
                <c:pt idx="41">
                  <c:v>91.47</c:v>
                </c:pt>
                <c:pt idx="42">
                  <c:v>85.87</c:v>
                </c:pt>
                <c:pt idx="43">
                  <c:v>81.67</c:v>
                </c:pt>
                <c:pt idx="44">
                  <c:v>78.4</c:v>
                </c:pt>
                <c:pt idx="45">
                  <c:v>75.6</c:v>
                </c:pt>
                <c:pt idx="46">
                  <c:v>72.8</c:v>
                </c:pt>
                <c:pt idx="47">
                  <c:v>68.6</c:v>
                </c:pt>
                <c:pt idx="48">
                  <c:v>66.27</c:v>
                </c:pt>
                <c:pt idx="49">
                  <c:v>61.6</c:v>
                </c:pt>
                <c:pt idx="50">
                  <c:v>57.4</c:v>
                </c:pt>
                <c:pt idx="51">
                  <c:v>54.13</c:v>
                </c:pt>
                <c:pt idx="52">
                  <c:v>51.8</c:v>
                </c:pt>
                <c:pt idx="53">
                  <c:v>47.6</c:v>
                </c:pt>
                <c:pt idx="54">
                  <c:v>45.27</c:v>
                </c:pt>
                <c:pt idx="55">
                  <c:v>41.53</c:v>
                </c:pt>
                <c:pt idx="56">
                  <c:v>39.67</c:v>
                </c:pt>
                <c:pt idx="57">
                  <c:v>35.47</c:v>
                </c:pt>
                <c:pt idx="58">
                  <c:v>33.13</c:v>
                </c:pt>
                <c:pt idx="59">
                  <c:v>30.8</c:v>
                </c:pt>
                <c:pt idx="60">
                  <c:v>27.07</c:v>
                </c:pt>
                <c:pt idx="61">
                  <c:v>25.67</c:v>
                </c:pt>
                <c:pt idx="62">
                  <c:v>21.93</c:v>
                </c:pt>
                <c:pt idx="63">
                  <c:v>18.2</c:v>
                </c:pt>
                <c:pt idx="64">
                  <c:v>16.8</c:v>
                </c:pt>
                <c:pt idx="65">
                  <c:v>13.53</c:v>
                </c:pt>
                <c:pt idx="66">
                  <c:v>14</c:v>
                </c:pt>
                <c:pt idx="67">
                  <c:v>8.87</c:v>
                </c:pt>
                <c:pt idx="68">
                  <c:v>8.87</c:v>
                </c:pt>
                <c:pt idx="69">
                  <c:v>4.67</c:v>
                </c:pt>
                <c:pt idx="70">
                  <c:v>3.27</c:v>
                </c:pt>
                <c:pt idx="71">
                  <c:v>1.87</c:v>
                </c:pt>
                <c:pt idx="72">
                  <c:v>-0.93</c:v>
                </c:pt>
                <c:pt idx="73">
                  <c:v>-2.33</c:v>
                </c:pt>
                <c:pt idx="74">
                  <c:v>-2.8</c:v>
                </c:pt>
                <c:pt idx="75">
                  <c:v>-5.6</c:v>
                </c:pt>
                <c:pt idx="76">
                  <c:v>-4.2</c:v>
                </c:pt>
                <c:pt idx="77">
                  <c:v>-9.33</c:v>
                </c:pt>
                <c:pt idx="78">
                  <c:v>-9.33</c:v>
                </c:pt>
                <c:pt idx="79">
                  <c:v>-10.27</c:v>
                </c:pt>
                <c:pt idx="80">
                  <c:v>-10.27</c:v>
                </c:pt>
                <c:pt idx="81">
                  <c:v>-12.13</c:v>
                </c:pt>
                <c:pt idx="82">
                  <c:v>-14</c:v>
                </c:pt>
                <c:pt idx="83">
                  <c:v>-13.07</c:v>
                </c:pt>
                <c:pt idx="84">
                  <c:v>-14</c:v>
                </c:pt>
                <c:pt idx="85">
                  <c:v>-15.4</c:v>
                </c:pt>
                <c:pt idx="86">
                  <c:v>-16.33</c:v>
                </c:pt>
                <c:pt idx="87">
                  <c:v>-15.87</c:v>
                </c:pt>
                <c:pt idx="88">
                  <c:v>-17.73</c:v>
                </c:pt>
                <c:pt idx="89">
                  <c:v>-18.67</c:v>
                </c:pt>
                <c:pt idx="90">
                  <c:v>-19.13</c:v>
                </c:pt>
                <c:pt idx="91">
                  <c:v>-18.2</c:v>
                </c:pt>
                <c:pt idx="92">
                  <c:v>-16.33</c:v>
                </c:pt>
                <c:pt idx="93">
                  <c:v>-17.73</c:v>
                </c:pt>
                <c:pt idx="94">
                  <c:v>-19.6</c:v>
                </c:pt>
                <c:pt idx="95">
                  <c:v>-20.53</c:v>
                </c:pt>
                <c:pt idx="96">
                  <c:v>-19.6</c:v>
                </c:pt>
                <c:pt idx="97">
                  <c:v>-21</c:v>
                </c:pt>
                <c:pt idx="98">
                  <c:v>-19.6</c:v>
                </c:pt>
                <c:pt idx="99">
                  <c:v>-18.2</c:v>
                </c:pt>
                <c:pt idx="100">
                  <c:v>-18.2</c:v>
                </c:pt>
                <c:pt idx="101">
                  <c:v>-17.73</c:v>
                </c:pt>
                <c:pt idx="102">
                  <c:v>-19.6</c:v>
                </c:pt>
                <c:pt idx="103">
                  <c:v>-17.73</c:v>
                </c:pt>
                <c:pt idx="104">
                  <c:v>-20.07</c:v>
                </c:pt>
                <c:pt idx="105">
                  <c:v>-16.8</c:v>
                </c:pt>
                <c:pt idx="106">
                  <c:v>-16.8</c:v>
                </c:pt>
                <c:pt idx="107">
                  <c:v>-16.8</c:v>
                </c:pt>
                <c:pt idx="108">
                  <c:v>-17.27</c:v>
                </c:pt>
                <c:pt idx="109">
                  <c:v>-15.4</c:v>
                </c:pt>
                <c:pt idx="110">
                  <c:v>-15.4</c:v>
                </c:pt>
                <c:pt idx="111">
                  <c:v>-14.93</c:v>
                </c:pt>
                <c:pt idx="112">
                  <c:v>-14.47</c:v>
                </c:pt>
                <c:pt idx="113">
                  <c:v>-14</c:v>
                </c:pt>
                <c:pt idx="114">
                  <c:v>-14</c:v>
                </c:pt>
                <c:pt idx="115">
                  <c:v>-10.73</c:v>
                </c:pt>
                <c:pt idx="116">
                  <c:v>-12.13</c:v>
                </c:pt>
                <c:pt idx="117">
                  <c:v>-10.73</c:v>
                </c:pt>
                <c:pt idx="118">
                  <c:v>-10.73</c:v>
                </c:pt>
                <c:pt idx="119">
                  <c:v>-10.73</c:v>
                </c:pt>
                <c:pt idx="120">
                  <c:v>-10.73</c:v>
                </c:pt>
                <c:pt idx="121">
                  <c:v>-8.87</c:v>
                </c:pt>
                <c:pt idx="122">
                  <c:v>-7.93</c:v>
                </c:pt>
                <c:pt idx="123">
                  <c:v>-8.87</c:v>
                </c:pt>
                <c:pt idx="124">
                  <c:v>-8.87</c:v>
                </c:pt>
                <c:pt idx="125">
                  <c:v>-7.47</c:v>
                </c:pt>
                <c:pt idx="126">
                  <c:v>-7</c:v>
                </c:pt>
                <c:pt idx="127">
                  <c:v>-7.47</c:v>
                </c:pt>
                <c:pt idx="128">
                  <c:v>-6.07</c:v>
                </c:pt>
                <c:pt idx="129">
                  <c:v>-4.2</c:v>
                </c:pt>
                <c:pt idx="130">
                  <c:v>-5.13</c:v>
                </c:pt>
                <c:pt idx="131">
                  <c:v>-3.27</c:v>
                </c:pt>
                <c:pt idx="132">
                  <c:v>-2.33</c:v>
                </c:pt>
                <c:pt idx="133">
                  <c:v>-3.73</c:v>
                </c:pt>
                <c:pt idx="134">
                  <c:v>-0.47</c:v>
                </c:pt>
                <c:pt idx="135">
                  <c:v>-2.33</c:v>
                </c:pt>
                <c:pt idx="136">
                  <c:v>-0.93</c:v>
                </c:pt>
                <c:pt idx="137">
                  <c:v>-0.47</c:v>
                </c:pt>
                <c:pt idx="138">
                  <c:v>0</c:v>
                </c:pt>
                <c:pt idx="139">
                  <c:v>-0.47</c:v>
                </c:pt>
                <c:pt idx="140">
                  <c:v>1.4</c:v>
                </c:pt>
                <c:pt idx="141">
                  <c:v>1.4</c:v>
                </c:pt>
                <c:pt idx="142">
                  <c:v>2.33</c:v>
                </c:pt>
                <c:pt idx="143">
                  <c:v>2.8</c:v>
                </c:pt>
                <c:pt idx="144">
                  <c:v>4.67</c:v>
                </c:pt>
                <c:pt idx="145">
                  <c:v>3.73</c:v>
                </c:pt>
                <c:pt idx="146">
                  <c:v>4.2</c:v>
                </c:pt>
                <c:pt idx="147">
                  <c:v>5.13</c:v>
                </c:pt>
                <c:pt idx="148">
                  <c:v>5.6</c:v>
                </c:pt>
                <c:pt idx="149">
                  <c:v>5.6</c:v>
                </c:pt>
                <c:pt idx="150">
                  <c:v>5.6</c:v>
                </c:pt>
                <c:pt idx="151">
                  <c:v>7</c:v>
                </c:pt>
                <c:pt idx="152">
                  <c:v>7</c:v>
                </c:pt>
                <c:pt idx="153">
                  <c:v>5.6</c:v>
                </c:pt>
                <c:pt idx="154">
                  <c:v>7.93</c:v>
                </c:pt>
                <c:pt idx="155">
                  <c:v>8.4</c:v>
                </c:pt>
                <c:pt idx="156">
                  <c:v>7.93</c:v>
                </c:pt>
                <c:pt idx="157">
                  <c:v>8.87</c:v>
                </c:pt>
                <c:pt idx="158">
                  <c:v>11.2</c:v>
                </c:pt>
                <c:pt idx="159">
                  <c:v>9.33</c:v>
                </c:pt>
                <c:pt idx="160">
                  <c:v>8.87</c:v>
                </c:pt>
                <c:pt idx="161">
                  <c:v>9.8</c:v>
                </c:pt>
                <c:pt idx="162">
                  <c:v>9.33</c:v>
                </c:pt>
                <c:pt idx="163">
                  <c:v>11.67</c:v>
                </c:pt>
                <c:pt idx="164">
                  <c:v>9.8</c:v>
                </c:pt>
                <c:pt idx="165">
                  <c:v>11.67</c:v>
                </c:pt>
                <c:pt idx="166">
                  <c:v>11.2</c:v>
                </c:pt>
                <c:pt idx="167">
                  <c:v>11.67</c:v>
                </c:pt>
                <c:pt idx="168">
                  <c:v>13.07</c:v>
                </c:pt>
                <c:pt idx="169">
                  <c:v>11.2</c:v>
                </c:pt>
                <c:pt idx="170">
                  <c:v>11.2</c:v>
                </c:pt>
                <c:pt idx="171">
                  <c:v>11.2</c:v>
                </c:pt>
                <c:pt idx="172">
                  <c:v>12.6</c:v>
                </c:pt>
                <c:pt idx="173">
                  <c:v>12.6</c:v>
                </c:pt>
                <c:pt idx="174">
                  <c:v>13.07</c:v>
                </c:pt>
                <c:pt idx="175">
                  <c:v>12.13</c:v>
                </c:pt>
                <c:pt idx="176">
                  <c:v>13.07</c:v>
                </c:pt>
                <c:pt idx="177">
                  <c:v>13.07</c:v>
                </c:pt>
                <c:pt idx="178">
                  <c:v>12.6</c:v>
                </c:pt>
                <c:pt idx="179">
                  <c:v>12.6</c:v>
                </c:pt>
                <c:pt idx="180">
                  <c:v>12.6</c:v>
                </c:pt>
                <c:pt idx="181">
                  <c:v>14</c:v>
                </c:pt>
                <c:pt idx="182">
                  <c:v>12.6</c:v>
                </c:pt>
                <c:pt idx="183">
                  <c:v>13.07</c:v>
                </c:pt>
                <c:pt idx="184">
                  <c:v>13.07</c:v>
                </c:pt>
                <c:pt idx="185">
                  <c:v>12.13</c:v>
                </c:pt>
                <c:pt idx="186">
                  <c:v>12.6</c:v>
                </c:pt>
                <c:pt idx="187">
                  <c:v>11.2</c:v>
                </c:pt>
                <c:pt idx="188">
                  <c:v>12.6</c:v>
                </c:pt>
                <c:pt idx="189">
                  <c:v>13.53</c:v>
                </c:pt>
                <c:pt idx="190">
                  <c:v>14</c:v>
                </c:pt>
                <c:pt idx="191">
                  <c:v>14.47</c:v>
                </c:pt>
                <c:pt idx="192">
                  <c:v>10.73</c:v>
                </c:pt>
                <c:pt idx="193">
                  <c:v>11.67</c:v>
                </c:pt>
                <c:pt idx="194">
                  <c:v>12.6</c:v>
                </c:pt>
                <c:pt idx="195">
                  <c:v>12.6</c:v>
                </c:pt>
                <c:pt idx="196">
                  <c:v>13.07</c:v>
                </c:pt>
                <c:pt idx="197">
                  <c:v>12.6</c:v>
                </c:pt>
                <c:pt idx="198">
                  <c:v>11.2</c:v>
                </c:pt>
                <c:pt idx="199">
                  <c:v>12.6</c:v>
                </c:pt>
                <c:pt idx="200">
                  <c:v>11.67</c:v>
                </c:pt>
                <c:pt idx="201">
                  <c:v>12.6</c:v>
                </c:pt>
                <c:pt idx="202">
                  <c:v>10.27</c:v>
                </c:pt>
                <c:pt idx="203">
                  <c:v>9.33</c:v>
                </c:pt>
                <c:pt idx="204">
                  <c:v>11.2</c:v>
                </c:pt>
                <c:pt idx="205">
                  <c:v>12.13</c:v>
                </c:pt>
                <c:pt idx="206">
                  <c:v>12.6</c:v>
                </c:pt>
                <c:pt idx="207">
                  <c:v>10.73</c:v>
                </c:pt>
                <c:pt idx="208">
                  <c:v>9.8</c:v>
                </c:pt>
                <c:pt idx="209">
                  <c:v>11.2</c:v>
                </c:pt>
                <c:pt idx="210">
                  <c:v>9.33</c:v>
                </c:pt>
                <c:pt idx="211">
                  <c:v>10.73</c:v>
                </c:pt>
                <c:pt idx="212">
                  <c:v>9.33</c:v>
                </c:pt>
                <c:pt idx="213">
                  <c:v>10.27</c:v>
                </c:pt>
                <c:pt idx="214">
                  <c:v>9.33</c:v>
                </c:pt>
                <c:pt idx="215">
                  <c:v>10.73</c:v>
                </c:pt>
                <c:pt idx="216">
                  <c:v>8.87</c:v>
                </c:pt>
                <c:pt idx="217">
                  <c:v>9.33</c:v>
                </c:pt>
                <c:pt idx="218">
                  <c:v>11.2</c:v>
                </c:pt>
                <c:pt idx="219">
                  <c:v>7</c:v>
                </c:pt>
                <c:pt idx="220">
                  <c:v>8.87</c:v>
                </c:pt>
                <c:pt idx="221">
                  <c:v>10.27</c:v>
                </c:pt>
                <c:pt idx="222">
                  <c:v>7.93</c:v>
                </c:pt>
                <c:pt idx="223">
                  <c:v>8.4</c:v>
                </c:pt>
                <c:pt idx="224">
                  <c:v>7</c:v>
                </c:pt>
                <c:pt idx="225">
                  <c:v>7.47</c:v>
                </c:pt>
                <c:pt idx="226">
                  <c:v>7.93</c:v>
                </c:pt>
                <c:pt idx="227">
                  <c:v>7.93</c:v>
                </c:pt>
                <c:pt idx="228">
                  <c:v>7</c:v>
                </c:pt>
                <c:pt idx="229">
                  <c:v>9.33</c:v>
                </c:pt>
                <c:pt idx="230">
                  <c:v>7.47</c:v>
                </c:pt>
                <c:pt idx="231">
                  <c:v>6.53</c:v>
                </c:pt>
                <c:pt idx="232">
                  <c:v>7.47</c:v>
                </c:pt>
                <c:pt idx="233">
                  <c:v>7.47</c:v>
                </c:pt>
                <c:pt idx="234">
                  <c:v>6.53</c:v>
                </c:pt>
                <c:pt idx="235">
                  <c:v>6.53</c:v>
                </c:pt>
                <c:pt idx="236">
                  <c:v>5.13</c:v>
                </c:pt>
                <c:pt idx="237">
                  <c:v>6.53</c:v>
                </c:pt>
                <c:pt idx="238">
                  <c:v>5.13</c:v>
                </c:pt>
                <c:pt idx="239">
                  <c:v>4.67</c:v>
                </c:pt>
                <c:pt idx="240">
                  <c:v>6.53</c:v>
                </c:pt>
                <c:pt idx="241">
                  <c:v>6.53</c:v>
                </c:pt>
                <c:pt idx="242">
                  <c:v>4.67</c:v>
                </c:pt>
                <c:pt idx="243">
                  <c:v>4.2</c:v>
                </c:pt>
                <c:pt idx="244">
                  <c:v>4.67</c:v>
                </c:pt>
                <c:pt idx="245">
                  <c:v>3.73</c:v>
                </c:pt>
                <c:pt idx="246">
                  <c:v>4.67</c:v>
                </c:pt>
                <c:pt idx="247">
                  <c:v>2.8</c:v>
                </c:pt>
                <c:pt idx="248">
                  <c:v>1.4</c:v>
                </c:pt>
                <c:pt idx="249">
                  <c:v>4.67</c:v>
                </c:pt>
                <c:pt idx="250">
                  <c:v>3.73</c:v>
                </c:pt>
                <c:pt idx="251">
                  <c:v>1.87</c:v>
                </c:pt>
                <c:pt idx="252">
                  <c:v>2.8</c:v>
                </c:pt>
                <c:pt idx="253">
                  <c:v>1.87</c:v>
                </c:pt>
                <c:pt idx="254">
                  <c:v>4.67</c:v>
                </c:pt>
                <c:pt idx="255">
                  <c:v>3.73</c:v>
                </c:pt>
                <c:pt idx="256">
                  <c:v>3.27</c:v>
                </c:pt>
                <c:pt idx="257">
                  <c:v>2.8</c:v>
                </c:pt>
                <c:pt idx="258">
                  <c:v>3.27</c:v>
                </c:pt>
                <c:pt idx="259">
                  <c:v>0.93</c:v>
                </c:pt>
                <c:pt idx="260">
                  <c:v>0.93</c:v>
                </c:pt>
                <c:pt idx="261">
                  <c:v>2.8</c:v>
                </c:pt>
                <c:pt idx="262">
                  <c:v>2.33</c:v>
                </c:pt>
                <c:pt idx="263">
                  <c:v>2.33</c:v>
                </c:pt>
                <c:pt idx="264">
                  <c:v>0.47</c:v>
                </c:pt>
                <c:pt idx="265">
                  <c:v>3.73</c:v>
                </c:pt>
                <c:pt idx="266">
                  <c:v>2.33</c:v>
                </c:pt>
                <c:pt idx="267">
                  <c:v>1.4</c:v>
                </c:pt>
                <c:pt idx="268">
                  <c:v>2.8</c:v>
                </c:pt>
                <c:pt idx="269">
                  <c:v>1.87</c:v>
                </c:pt>
                <c:pt idx="270">
                  <c:v>1.4</c:v>
                </c:pt>
                <c:pt idx="271">
                  <c:v>0.93</c:v>
                </c:pt>
                <c:pt idx="272">
                  <c:v>2.33</c:v>
                </c:pt>
                <c:pt idx="273">
                  <c:v>2.33</c:v>
                </c:pt>
                <c:pt idx="274">
                  <c:v>0.47</c:v>
                </c:pt>
                <c:pt idx="275">
                  <c:v>2.8</c:v>
                </c:pt>
                <c:pt idx="276">
                  <c:v>1.4</c:v>
                </c:pt>
                <c:pt idx="277">
                  <c:v>1.4</c:v>
                </c:pt>
                <c:pt idx="278">
                  <c:v>2.33</c:v>
                </c:pt>
                <c:pt idx="279">
                  <c:v>1.87</c:v>
                </c:pt>
                <c:pt idx="280">
                  <c:v>1.4</c:v>
                </c:pt>
                <c:pt idx="281">
                  <c:v>1.4</c:v>
                </c:pt>
                <c:pt idx="282">
                  <c:v>1.4</c:v>
                </c:pt>
                <c:pt idx="283">
                  <c:v>1.87</c:v>
                </c:pt>
                <c:pt idx="284">
                  <c:v>3.27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marker val="0"/>
        <c:smooth val="0"/>
        <c:axId val="511721973"/>
        <c:axId val="511721974"/>
      </c:lineChart>
      <c:catAx>
        <c:axId val="511721973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rPr/>
                  <a:t>Error (C)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out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4"/>
        <c:crosses val="autoZero"/>
        <c:auto val="1"/>
        <c:lblAlgn val="ctr"/>
        <c:lblOffset val="100"/>
        <c:tickMarkSkip val="1"/>
        <c:noMultiLvlLbl val="0"/>
      </c:catAx>
      <c:valAx>
        <c:axId val="511721974"/>
        <c:scaling>
          <c:orientation val="minMax"/>
          <c:max val="300.000000"/>
          <c:min val="-10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5400000" scaled="0"/>
              </a:gra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P Term Output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4761" y="10858499"/>
      <a:ext cx="10006012" cy="5419724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 marL="0" marR="0" indent="0">
              <a:defRPr/>
            </a:pPr>
            <a:r>
              <a:rPr/>
              <a:t>PI Raw Output and Duty Cycle over Time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Sheet1!$B$1</c:f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rgbClr val="EE36FF"/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Sheet1!$F$2:$F$286</c:f>
            </c:numRef>
          </c:cat>
          <c:val>
            <c:numRef>
              <c:f>Sheet1!$B$2:$B$299</c:f>
            </c:numRef>
          </c:val>
          <c:smooth val="0"/>
        </c:ser>
        <c:ser>
          <c:idx val="3"/>
          <c:order val="1"/>
          <c:tx>
            <c:strRef>
              <c:f>Sheet1!$Q$1</c:f>
              <c:strCache>
                <c:ptCount val="1"/>
                <c:pt idx="0">
                  <c:v>Fake Kp (14)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rgbClr val="DBB0FF"/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Sheet1!$F$2:$F$286</c:f>
            </c:numRef>
          </c:cat>
          <c:val>
            <c:numRef>
              <c:f>Sheet1!$Q$2:$Q$299</c:f>
              <c:numCache>
                <c:formatCode>General</c:formatCode>
                <c:ptCount val="298"/>
                <c:pt idx="0">
                  <c:v>184.8</c:v>
                </c:pt>
                <c:pt idx="1">
                  <c:v>180.6</c:v>
                </c:pt>
                <c:pt idx="2">
                  <c:v>184.8</c:v>
                </c:pt>
                <c:pt idx="3">
                  <c:v>186.2</c:v>
                </c:pt>
                <c:pt idx="4">
                  <c:v>183.4</c:v>
                </c:pt>
                <c:pt idx="5">
                  <c:v>183.4</c:v>
                </c:pt>
                <c:pt idx="6">
                  <c:v>179.2</c:v>
                </c:pt>
                <c:pt idx="7">
                  <c:v>183.4</c:v>
                </c:pt>
                <c:pt idx="8">
                  <c:v>182</c:v>
                </c:pt>
                <c:pt idx="9">
                  <c:v>180.6</c:v>
                </c:pt>
                <c:pt idx="10">
                  <c:v>180.6</c:v>
                </c:pt>
                <c:pt idx="11">
                  <c:v>175</c:v>
                </c:pt>
                <c:pt idx="12">
                  <c:v>177.8</c:v>
                </c:pt>
                <c:pt idx="13">
                  <c:v>176.4</c:v>
                </c:pt>
                <c:pt idx="14">
                  <c:v>175</c:v>
                </c:pt>
                <c:pt idx="15">
                  <c:v>173.6</c:v>
                </c:pt>
                <c:pt idx="16">
                  <c:v>172.2</c:v>
                </c:pt>
                <c:pt idx="17">
                  <c:v>165.2</c:v>
                </c:pt>
                <c:pt idx="18">
                  <c:v>168</c:v>
                </c:pt>
                <c:pt idx="19">
                  <c:v>165.2</c:v>
                </c:pt>
                <c:pt idx="20">
                  <c:v>163.8</c:v>
                </c:pt>
                <c:pt idx="21">
                  <c:v>159.6</c:v>
                </c:pt>
                <c:pt idx="22">
                  <c:v>155.4</c:v>
                </c:pt>
                <c:pt idx="23">
                  <c:v>154</c:v>
                </c:pt>
                <c:pt idx="24">
                  <c:v>152.6</c:v>
                </c:pt>
                <c:pt idx="25">
                  <c:v>148.4</c:v>
                </c:pt>
                <c:pt idx="26">
                  <c:v>145.6</c:v>
                </c:pt>
                <c:pt idx="27">
                  <c:v>145.6</c:v>
                </c:pt>
                <c:pt idx="28">
                  <c:v>140</c:v>
                </c:pt>
                <c:pt idx="29">
                  <c:v>135.8</c:v>
                </c:pt>
                <c:pt idx="30">
                  <c:v>131.6</c:v>
                </c:pt>
                <c:pt idx="31">
                  <c:v>128.8</c:v>
                </c:pt>
                <c:pt idx="32">
                  <c:v>128.8</c:v>
                </c:pt>
                <c:pt idx="33">
                  <c:v>126</c:v>
                </c:pt>
                <c:pt idx="34">
                  <c:v>117.6</c:v>
                </c:pt>
                <c:pt idx="35">
                  <c:v>120.4</c:v>
                </c:pt>
                <c:pt idx="36">
                  <c:v>110.6</c:v>
                </c:pt>
                <c:pt idx="37">
                  <c:v>110.6</c:v>
                </c:pt>
                <c:pt idx="38">
                  <c:v>107.8</c:v>
                </c:pt>
                <c:pt idx="39">
                  <c:v>105</c:v>
                </c:pt>
                <c:pt idx="40">
                  <c:v>100.8</c:v>
                </c:pt>
                <c:pt idx="41">
                  <c:v>93.8</c:v>
                </c:pt>
                <c:pt idx="42">
                  <c:v>93.8</c:v>
                </c:pt>
                <c:pt idx="43">
                  <c:v>88.2</c:v>
                </c:pt>
                <c:pt idx="44">
                  <c:v>86.8</c:v>
                </c:pt>
                <c:pt idx="45">
                  <c:v>81.2</c:v>
                </c:pt>
                <c:pt idx="46">
                  <c:v>78.4</c:v>
                </c:pt>
                <c:pt idx="47">
                  <c:v>74.2</c:v>
                </c:pt>
                <c:pt idx="48">
                  <c:v>74.2</c:v>
                </c:pt>
                <c:pt idx="49">
                  <c:v>70</c:v>
                </c:pt>
                <c:pt idx="50">
                  <c:v>65.8</c:v>
                </c:pt>
                <c:pt idx="51">
                  <c:v>58.8</c:v>
                </c:pt>
                <c:pt idx="52">
                  <c:v>58.8</c:v>
                </c:pt>
                <c:pt idx="53">
                  <c:v>51.8</c:v>
                </c:pt>
                <c:pt idx="54">
                  <c:v>47.6</c:v>
                </c:pt>
                <c:pt idx="55">
                  <c:v>49</c:v>
                </c:pt>
                <c:pt idx="56">
                  <c:v>44.8</c:v>
                </c:pt>
                <c:pt idx="57">
                  <c:v>40.6</c:v>
                </c:pt>
                <c:pt idx="58">
                  <c:v>37.8</c:v>
                </c:pt>
                <c:pt idx="59">
                  <c:v>33.6</c:v>
                </c:pt>
                <c:pt idx="60">
                  <c:v>28</c:v>
                </c:pt>
                <c:pt idx="61">
                  <c:v>25.2</c:v>
                </c:pt>
                <c:pt idx="62">
                  <c:v>22.4</c:v>
                </c:pt>
                <c:pt idx="63">
                  <c:v>21</c:v>
                </c:pt>
                <c:pt idx="64">
                  <c:v>18.2</c:v>
                </c:pt>
                <c:pt idx="65">
                  <c:v>15.4</c:v>
                </c:pt>
                <c:pt idx="66">
                  <c:v>11.2</c:v>
                </c:pt>
                <c:pt idx="67">
                  <c:v>9.8</c:v>
                </c:pt>
                <c:pt idx="68">
                  <c:v>5.6</c:v>
                </c:pt>
                <c:pt idx="69">
                  <c:v>1.4</c:v>
                </c:pt>
                <c:pt idx="70">
                  <c:v>0</c:v>
                </c:pt>
                <c:pt idx="71">
                  <c:v>-1.4</c:v>
                </c:pt>
                <c:pt idx="72">
                  <c:v>-5.6</c:v>
                </c:pt>
                <c:pt idx="73">
                  <c:v>-8.4</c:v>
                </c:pt>
                <c:pt idx="74">
                  <c:v>-9.8</c:v>
                </c:pt>
                <c:pt idx="75">
                  <c:v>-14</c:v>
                </c:pt>
                <c:pt idx="76">
                  <c:v>-14</c:v>
                </c:pt>
                <c:pt idx="77">
                  <c:v>-14</c:v>
                </c:pt>
                <c:pt idx="78">
                  <c:v>-16.8</c:v>
                </c:pt>
                <c:pt idx="79">
                  <c:v>-19.6</c:v>
                </c:pt>
                <c:pt idx="80">
                  <c:v>-22.4</c:v>
                </c:pt>
                <c:pt idx="81">
                  <c:v>-21</c:v>
                </c:pt>
                <c:pt idx="82">
                  <c:v>-23.8</c:v>
                </c:pt>
                <c:pt idx="83">
                  <c:v>-21</c:v>
                </c:pt>
                <c:pt idx="84">
                  <c:v>-22.4</c:v>
                </c:pt>
                <c:pt idx="85">
                  <c:v>-25.2</c:v>
                </c:pt>
                <c:pt idx="86">
                  <c:v>-25.2</c:v>
                </c:pt>
                <c:pt idx="87">
                  <c:v>-26.6</c:v>
                </c:pt>
                <c:pt idx="88">
                  <c:v>-29.4</c:v>
                </c:pt>
                <c:pt idx="89">
                  <c:v>-30.8</c:v>
                </c:pt>
                <c:pt idx="90">
                  <c:v>-29.4</c:v>
                </c:pt>
                <c:pt idx="91">
                  <c:v>-29.4</c:v>
                </c:pt>
                <c:pt idx="92">
                  <c:v>-30.8</c:v>
                </c:pt>
                <c:pt idx="93">
                  <c:v>-30.8</c:v>
                </c:pt>
                <c:pt idx="94">
                  <c:v>-30.8</c:v>
                </c:pt>
                <c:pt idx="95">
                  <c:v>-32.2</c:v>
                </c:pt>
                <c:pt idx="96">
                  <c:v>-30.8</c:v>
                </c:pt>
                <c:pt idx="97">
                  <c:v>-32.2</c:v>
                </c:pt>
                <c:pt idx="98">
                  <c:v>-33.6</c:v>
                </c:pt>
                <c:pt idx="99">
                  <c:v>-30.8</c:v>
                </c:pt>
                <c:pt idx="100">
                  <c:v>-29.4</c:v>
                </c:pt>
                <c:pt idx="101">
                  <c:v>-30.8</c:v>
                </c:pt>
                <c:pt idx="102">
                  <c:v>-29.4</c:v>
                </c:pt>
                <c:pt idx="103">
                  <c:v>-29.4</c:v>
                </c:pt>
                <c:pt idx="104">
                  <c:v>-30.8</c:v>
                </c:pt>
                <c:pt idx="105">
                  <c:v>-28</c:v>
                </c:pt>
                <c:pt idx="106">
                  <c:v>-28</c:v>
                </c:pt>
                <c:pt idx="107">
                  <c:v>-26.6</c:v>
                </c:pt>
                <c:pt idx="108">
                  <c:v>-25.2</c:v>
                </c:pt>
                <c:pt idx="109">
                  <c:v>-28</c:v>
                </c:pt>
                <c:pt idx="110">
                  <c:v>-25.2</c:v>
                </c:pt>
                <c:pt idx="111">
                  <c:v>-23.8</c:v>
                </c:pt>
                <c:pt idx="112">
                  <c:v>-21</c:v>
                </c:pt>
                <c:pt idx="113">
                  <c:v>-25.2</c:v>
                </c:pt>
                <c:pt idx="114">
                  <c:v>-23.8</c:v>
                </c:pt>
                <c:pt idx="115">
                  <c:v>-22.4</c:v>
                </c:pt>
                <c:pt idx="116">
                  <c:v>-18.2</c:v>
                </c:pt>
                <c:pt idx="117">
                  <c:v>-18.2</c:v>
                </c:pt>
                <c:pt idx="118">
                  <c:v>-19.6</c:v>
                </c:pt>
                <c:pt idx="119">
                  <c:v>-18.2</c:v>
                </c:pt>
                <c:pt idx="120">
                  <c:v>-14</c:v>
                </c:pt>
                <c:pt idx="121">
                  <c:v>-16.8</c:v>
                </c:pt>
                <c:pt idx="122">
                  <c:v>-15.4</c:v>
                </c:pt>
                <c:pt idx="123">
                  <c:v>-12.6</c:v>
                </c:pt>
                <c:pt idx="124">
                  <c:v>-14</c:v>
                </c:pt>
                <c:pt idx="125">
                  <c:v>-15.4</c:v>
                </c:pt>
                <c:pt idx="126">
                  <c:v>-12.6</c:v>
                </c:pt>
                <c:pt idx="127">
                  <c:v>-11.2</c:v>
                </c:pt>
                <c:pt idx="128">
                  <c:v>-9.8</c:v>
                </c:pt>
                <c:pt idx="129">
                  <c:v>-9.8</c:v>
                </c:pt>
                <c:pt idx="130">
                  <c:v>-7</c:v>
                </c:pt>
                <c:pt idx="131">
                  <c:v>-8.4</c:v>
                </c:pt>
                <c:pt idx="132">
                  <c:v>-7</c:v>
                </c:pt>
                <c:pt idx="133">
                  <c:v>-7</c:v>
                </c:pt>
                <c:pt idx="134">
                  <c:v>-5.6</c:v>
                </c:pt>
                <c:pt idx="135">
                  <c:v>-1.4</c:v>
                </c:pt>
                <c:pt idx="136">
                  <c:v>-2.8</c:v>
                </c:pt>
                <c:pt idx="137">
                  <c:v>-2.8</c:v>
                </c:pt>
                <c:pt idx="138">
                  <c:v>0</c:v>
                </c:pt>
                <c:pt idx="139">
                  <c:v>2.8</c:v>
                </c:pt>
                <c:pt idx="140">
                  <c:v>1.4</c:v>
                </c:pt>
                <c:pt idx="141">
                  <c:v>1.4</c:v>
                </c:pt>
                <c:pt idx="142">
                  <c:v>2.8</c:v>
                </c:pt>
                <c:pt idx="143">
                  <c:v>4.2</c:v>
                </c:pt>
                <c:pt idx="144">
                  <c:v>1.4</c:v>
                </c:pt>
                <c:pt idx="145">
                  <c:v>5.6</c:v>
                </c:pt>
                <c:pt idx="146">
                  <c:v>5.6</c:v>
                </c:pt>
                <c:pt idx="147">
                  <c:v>5.6</c:v>
                </c:pt>
                <c:pt idx="148">
                  <c:v>5.6</c:v>
                </c:pt>
                <c:pt idx="149">
                  <c:v>7</c:v>
                </c:pt>
                <c:pt idx="150">
                  <c:v>7</c:v>
                </c:pt>
                <c:pt idx="151">
                  <c:v>9.8</c:v>
                </c:pt>
                <c:pt idx="152">
                  <c:v>9.8</c:v>
                </c:pt>
                <c:pt idx="153">
                  <c:v>7</c:v>
                </c:pt>
                <c:pt idx="154">
                  <c:v>9.8</c:v>
                </c:pt>
                <c:pt idx="155">
                  <c:v>9.8</c:v>
                </c:pt>
                <c:pt idx="156">
                  <c:v>8.4</c:v>
                </c:pt>
                <c:pt idx="157">
                  <c:v>16.8</c:v>
                </c:pt>
                <c:pt idx="158">
                  <c:v>12.6</c:v>
                </c:pt>
                <c:pt idx="159">
                  <c:v>11.2</c:v>
                </c:pt>
                <c:pt idx="160">
                  <c:v>15.4</c:v>
                </c:pt>
                <c:pt idx="161">
                  <c:v>11.2</c:v>
                </c:pt>
                <c:pt idx="162">
                  <c:v>11.2</c:v>
                </c:pt>
                <c:pt idx="163">
                  <c:v>14</c:v>
                </c:pt>
                <c:pt idx="164">
                  <c:v>12.6</c:v>
                </c:pt>
                <c:pt idx="165">
                  <c:v>19.6</c:v>
                </c:pt>
                <c:pt idx="166">
                  <c:v>14</c:v>
                </c:pt>
                <c:pt idx="167">
                  <c:v>12.6</c:v>
                </c:pt>
                <c:pt idx="168">
                  <c:v>11.2</c:v>
                </c:pt>
                <c:pt idx="169">
                  <c:v>12.6</c:v>
                </c:pt>
                <c:pt idx="170">
                  <c:v>14</c:v>
                </c:pt>
                <c:pt idx="171">
                  <c:v>11.2</c:v>
                </c:pt>
                <c:pt idx="172">
                  <c:v>11.2</c:v>
                </c:pt>
                <c:pt idx="173">
                  <c:v>12.6</c:v>
                </c:pt>
                <c:pt idx="174">
                  <c:v>12.6</c:v>
                </c:pt>
                <c:pt idx="175">
                  <c:v>14</c:v>
                </c:pt>
                <c:pt idx="176">
                  <c:v>12.6</c:v>
                </c:pt>
                <c:pt idx="177">
                  <c:v>14</c:v>
                </c:pt>
                <c:pt idx="178">
                  <c:v>15.4</c:v>
                </c:pt>
                <c:pt idx="179">
                  <c:v>14</c:v>
                </c:pt>
                <c:pt idx="180">
                  <c:v>14</c:v>
                </c:pt>
                <c:pt idx="181">
                  <c:v>12.6</c:v>
                </c:pt>
                <c:pt idx="182">
                  <c:v>11.2</c:v>
                </c:pt>
                <c:pt idx="183">
                  <c:v>12.6</c:v>
                </c:pt>
                <c:pt idx="184">
                  <c:v>14</c:v>
                </c:pt>
                <c:pt idx="185">
                  <c:v>12.6</c:v>
                </c:pt>
                <c:pt idx="186">
                  <c:v>12.6</c:v>
                </c:pt>
                <c:pt idx="187">
                  <c:v>14</c:v>
                </c:pt>
                <c:pt idx="188">
                  <c:v>12.6</c:v>
                </c:pt>
                <c:pt idx="189">
                  <c:v>11.2</c:v>
                </c:pt>
                <c:pt idx="190">
                  <c:v>11.2</c:v>
                </c:pt>
                <c:pt idx="191">
                  <c:v>11.2</c:v>
                </c:pt>
                <c:pt idx="192">
                  <c:v>11.2</c:v>
                </c:pt>
                <c:pt idx="193">
                  <c:v>11.2</c:v>
                </c:pt>
                <c:pt idx="194">
                  <c:v>9.8</c:v>
                </c:pt>
                <c:pt idx="195">
                  <c:v>9.8</c:v>
                </c:pt>
                <c:pt idx="196">
                  <c:v>9.8</c:v>
                </c:pt>
                <c:pt idx="197">
                  <c:v>9.8</c:v>
                </c:pt>
                <c:pt idx="198">
                  <c:v>9.8</c:v>
                </c:pt>
                <c:pt idx="199">
                  <c:v>11.2</c:v>
                </c:pt>
                <c:pt idx="200">
                  <c:v>11.2</c:v>
                </c:pt>
                <c:pt idx="201">
                  <c:v>9.8</c:v>
                </c:pt>
                <c:pt idx="202">
                  <c:v>9.8</c:v>
                </c:pt>
                <c:pt idx="203">
                  <c:v>8.4</c:v>
                </c:pt>
                <c:pt idx="204">
                  <c:v>7</c:v>
                </c:pt>
                <c:pt idx="205">
                  <c:v>9.8</c:v>
                </c:pt>
                <c:pt idx="206">
                  <c:v>9.8</c:v>
                </c:pt>
                <c:pt idx="207">
                  <c:v>7</c:v>
                </c:pt>
                <c:pt idx="208">
                  <c:v>7</c:v>
                </c:pt>
                <c:pt idx="209">
                  <c:v>8.4</c:v>
                </c:pt>
                <c:pt idx="210">
                  <c:v>7</c:v>
                </c:pt>
                <c:pt idx="211">
                  <c:v>7</c:v>
                </c:pt>
                <c:pt idx="212">
                  <c:v>8.4</c:v>
                </c:pt>
                <c:pt idx="213">
                  <c:v>4.2</c:v>
                </c:pt>
                <c:pt idx="214">
                  <c:v>5.6</c:v>
                </c:pt>
                <c:pt idx="215">
                  <c:v>4.2</c:v>
                </c:pt>
                <c:pt idx="216">
                  <c:v>5.6</c:v>
                </c:pt>
                <c:pt idx="217">
                  <c:v>7</c:v>
                </c:pt>
                <c:pt idx="218">
                  <c:v>5.6</c:v>
                </c:pt>
                <c:pt idx="219">
                  <c:v>5.6</c:v>
                </c:pt>
                <c:pt idx="220">
                  <c:v>7</c:v>
                </c:pt>
                <c:pt idx="221">
                  <c:v>5.6</c:v>
                </c:pt>
                <c:pt idx="222">
                  <c:v>4.2</c:v>
                </c:pt>
                <c:pt idx="223">
                  <c:v>4.2</c:v>
                </c:pt>
                <c:pt idx="224">
                  <c:v>2.8</c:v>
                </c:pt>
                <c:pt idx="225">
                  <c:v>4.2</c:v>
                </c:pt>
                <c:pt idx="226">
                  <c:v>4.2</c:v>
                </c:pt>
                <c:pt idx="227">
                  <c:v>5.6</c:v>
                </c:pt>
                <c:pt idx="228">
                  <c:v>4.2</c:v>
                </c:pt>
                <c:pt idx="229">
                  <c:v>1.4</c:v>
                </c:pt>
                <c:pt idx="230">
                  <c:v>4.2</c:v>
                </c:pt>
                <c:pt idx="231">
                  <c:v>2.8</c:v>
                </c:pt>
                <c:pt idx="232">
                  <c:v>4.2</c:v>
                </c:pt>
                <c:pt idx="233">
                  <c:v>5.6</c:v>
                </c:pt>
                <c:pt idx="234">
                  <c:v>2.8</c:v>
                </c:pt>
                <c:pt idx="235">
                  <c:v>2.8</c:v>
                </c:pt>
                <c:pt idx="236">
                  <c:v>2.8</c:v>
                </c:pt>
                <c:pt idx="237">
                  <c:v>4.2</c:v>
                </c:pt>
                <c:pt idx="238">
                  <c:v>1.4</c:v>
                </c:pt>
                <c:pt idx="239">
                  <c:v>2.8</c:v>
                </c:pt>
                <c:pt idx="240">
                  <c:v>7</c:v>
                </c:pt>
                <c:pt idx="241">
                  <c:v>2.8</c:v>
                </c:pt>
                <c:pt idx="242">
                  <c:v>2.8</c:v>
                </c:pt>
                <c:pt idx="243">
                  <c:v>1.4</c:v>
                </c:pt>
                <c:pt idx="244">
                  <c:v>1.4</c:v>
                </c:pt>
                <c:pt idx="245">
                  <c:v>2.8</c:v>
                </c:pt>
                <c:pt idx="246">
                  <c:v>2.8</c:v>
                </c:pt>
                <c:pt idx="247">
                  <c:v>4.2</c:v>
                </c:pt>
                <c:pt idx="248">
                  <c:v>1.4</c:v>
                </c:pt>
                <c:pt idx="249">
                  <c:v>2.8</c:v>
                </c:pt>
                <c:pt idx="250">
                  <c:v>4.2</c:v>
                </c:pt>
                <c:pt idx="251">
                  <c:v>4.2</c:v>
                </c:pt>
                <c:pt idx="252">
                  <c:v>2.8</c:v>
                </c:pt>
                <c:pt idx="253">
                  <c:v>2.8</c:v>
                </c:pt>
                <c:pt idx="254">
                  <c:v>1.4</c:v>
                </c:pt>
                <c:pt idx="255">
                  <c:v>2.8</c:v>
                </c:pt>
                <c:pt idx="256">
                  <c:v>2.8</c:v>
                </c:pt>
                <c:pt idx="257">
                  <c:v>2.8</c:v>
                </c:pt>
                <c:pt idx="258">
                  <c:v>4.2</c:v>
                </c:pt>
                <c:pt idx="259">
                  <c:v>2.8</c:v>
                </c:pt>
                <c:pt idx="260">
                  <c:v>5.6</c:v>
                </c:pt>
                <c:pt idx="261">
                  <c:v>5.6</c:v>
                </c:pt>
                <c:pt idx="262">
                  <c:v>2.8</c:v>
                </c:pt>
                <c:pt idx="263">
                  <c:v>2.8</c:v>
                </c:pt>
                <c:pt idx="264">
                  <c:v>4.2</c:v>
                </c:pt>
                <c:pt idx="265">
                  <c:v>2.8</c:v>
                </c:pt>
                <c:pt idx="266">
                  <c:v>4.2</c:v>
                </c:pt>
                <c:pt idx="267">
                  <c:v>0</c:v>
                </c:pt>
                <c:pt idx="268">
                  <c:v>4.2</c:v>
                </c:pt>
                <c:pt idx="269">
                  <c:v>0</c:v>
                </c:pt>
                <c:pt idx="270">
                  <c:v>4.2</c:v>
                </c:pt>
                <c:pt idx="271">
                  <c:v>1.4</c:v>
                </c:pt>
                <c:pt idx="272">
                  <c:v>2.8</c:v>
                </c:pt>
                <c:pt idx="273">
                  <c:v>1.4</c:v>
                </c:pt>
                <c:pt idx="274">
                  <c:v>4.2</c:v>
                </c:pt>
                <c:pt idx="275">
                  <c:v>4.2</c:v>
                </c:pt>
                <c:pt idx="276">
                  <c:v>5.6</c:v>
                </c:pt>
                <c:pt idx="277">
                  <c:v>2.8</c:v>
                </c:pt>
                <c:pt idx="278">
                  <c:v>4.2</c:v>
                </c:pt>
                <c:pt idx="279">
                  <c:v>2.8</c:v>
                </c:pt>
                <c:pt idx="280">
                  <c:v>4.2</c:v>
                </c:pt>
                <c:pt idx="281">
                  <c:v>2.8</c:v>
                </c:pt>
                <c:pt idx="282">
                  <c:v>5.6</c:v>
                </c:pt>
                <c:pt idx="283">
                  <c:v>4.2</c:v>
                </c:pt>
                <c:pt idx="284">
                  <c:v>2.8</c:v>
                </c:pt>
                <c:pt idx="285">
                  <c:v>2.8</c:v>
                </c:pt>
                <c:pt idx="286">
                  <c:v>1.4</c:v>
                </c:pt>
                <c:pt idx="287">
                  <c:v>4.2</c:v>
                </c:pt>
                <c:pt idx="288">
                  <c:v>2.8</c:v>
                </c:pt>
                <c:pt idx="289">
                  <c:v>1.4</c:v>
                </c:pt>
                <c:pt idx="290">
                  <c:v>4.2</c:v>
                </c:pt>
                <c:pt idx="291">
                  <c:v>2.8</c:v>
                </c:pt>
                <c:pt idx="292">
                  <c:v>4.2</c:v>
                </c:pt>
                <c:pt idx="293">
                  <c:v>4.2</c:v>
                </c:pt>
                <c:pt idx="294">
                  <c:v>2.8</c:v>
                </c:pt>
                <c:pt idx="295">
                  <c:v>-2.8</c:v>
                </c:pt>
                <c:pt idx="296">
                  <c:v>4.2</c:v>
                </c:pt>
                <c:pt idx="297">
                  <c:v>4.2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Sheet1!$C$1</c:f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5"/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Sheet1!$F$2:$F$286</c:f>
            </c:numRef>
          </c:cat>
          <c:val>
            <c:numRef>
              <c:f>Sheet1!$C$2:$C$299</c:f>
            </c:numRef>
          </c:val>
          <c:smooth val="0"/>
        </c:ser>
        <c:ser>
          <c:idx val="2"/>
          <c:order val="3"/>
          <c:tx>
            <c:strRef>
              <c:f>Sheet1!$G$1</c:f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bg1">
                  <a:lumMod val="95000"/>
                </a:schemeClr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Sheet1!$F$2:$F$286</c:f>
            </c:numRef>
          </c:cat>
          <c:val>
            <c:numRef>
              <c:f>Sheet1!$G$2:$G$299</c:f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marker val="0"/>
        <c:smooth val="0"/>
        <c:axId val="511721977"/>
        <c:axId val="511721978"/>
      </c:lineChart>
      <c:catAx>
        <c:axId val="511721977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rPr/>
                  <a:t>Time (minutes)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out"/>
        <c:tickLblPos val="nextTo"/>
        <c:spPr bwMode="auto">
          <a:prstGeom prst="rect">
            <a:avLst/>
          </a:prstGeom>
          <a:noFill/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8"/>
        <c:crosses val="autoZero"/>
        <c:auto val="1"/>
        <c:lblAlgn val="ctr"/>
        <c:lblOffset val="100"/>
        <c:tickLblSkip val="23"/>
        <c:tickMarkSkip val="1"/>
        <c:noMultiLvlLbl val="0"/>
      </c:catAx>
      <c:valAx>
        <c:axId val="511721978"/>
        <c:scaling>
          <c:orientation val="minMax"/>
          <c:max val="300.000000"/>
          <c:min val="-10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5400000" scaled="0"/>
              </a:gra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Output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5410199"/>
      <a:ext cx="10010774" cy="5448299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  <a:alpha val="25000"/>
              </a:schemeClr>
            </a:gs>
            <a:gs pos="100000">
              <a:schemeClr val="dk1">
                <a:lumMod val="75000"/>
                <a:lumOff val="2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4"/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  <a:alpha val="25000"/>
              </a:schemeClr>
            </a:gs>
            <a:gs pos="100000">
              <a:schemeClr val="dk1">
                <a:lumMod val="75000"/>
                <a:lumOff val="2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4"/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  <a:alpha val="25000"/>
              </a:schemeClr>
            </a:gs>
            <a:gs pos="100000">
              <a:schemeClr val="dk1">
                <a:lumMod val="75000"/>
                <a:lumOff val="2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4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4760</xdr:colOff>
      <xdr:row>0</xdr:row>
      <xdr:rowOff>0</xdr:rowOff>
    </xdr:from>
    <xdr:to>
      <xdr:col>13</xdr:col>
      <xdr:colOff>152399</xdr:colOff>
      <xdr:row>29</xdr:row>
      <xdr:rowOff>161924</xdr:rowOff>
    </xdr:to>
    <xdr:graphicFrame>
      <xdr:nvGraphicFramePr>
        <xdr:cNvPr id="1300944053" name=""/>
        <xdr:cNvGraphicFramePr>
          <a:graphicFrameLocks xmlns:a="http://schemas.openxmlformats.org/drawingml/2006/main"/>
        </xdr:cNvGraphicFramePr>
      </xdr:nvGraphicFramePr>
      <xdr:xfrm rot="0">
        <a:off x="4761" y="0"/>
        <a:ext cx="10006012" cy="541019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0</xdr:col>
      <xdr:colOff>4760</xdr:colOff>
      <xdr:row>59</xdr:row>
      <xdr:rowOff>180974</xdr:rowOff>
    </xdr:from>
    <xdr:to>
      <xdr:col>13</xdr:col>
      <xdr:colOff>152399</xdr:colOff>
      <xdr:row>89</xdr:row>
      <xdr:rowOff>171449</xdr:rowOff>
    </xdr:to>
    <xdr:graphicFrame>
      <xdr:nvGraphicFramePr>
        <xdr:cNvPr id="341864188" name=""/>
        <xdr:cNvGraphicFramePr>
          <a:graphicFrameLocks xmlns:a="http://schemas.openxmlformats.org/drawingml/2006/main"/>
        </xdr:cNvGraphicFramePr>
      </xdr:nvGraphicFramePr>
      <xdr:xfrm rot="0">
        <a:off x="4761" y="10858499"/>
        <a:ext cx="10006012" cy="54197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0</xdr:col>
      <xdr:colOff>0</xdr:colOff>
      <xdr:row>29</xdr:row>
      <xdr:rowOff>161924</xdr:rowOff>
    </xdr:from>
    <xdr:to>
      <xdr:col>13</xdr:col>
      <xdr:colOff>152399</xdr:colOff>
      <xdr:row>59</xdr:row>
      <xdr:rowOff>180974</xdr:rowOff>
    </xdr:to>
    <xdr:graphicFrame>
      <xdr:nvGraphicFramePr>
        <xdr:cNvPr id="640999025" name=""/>
        <xdr:cNvGraphicFramePr>
          <a:graphicFrameLocks xmlns:a="http://schemas.openxmlformats.org/drawingml/2006/main"/>
        </xdr:cNvGraphicFramePr>
      </xdr:nvGraphicFramePr>
      <xdr:xfrm rot="0">
        <a:off x="0" y="5410199"/>
        <a:ext cx="10010774" cy="544829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" zoomScale="100" workbookViewId="0">
      <selection activeCell="A1" activeCellId="0" sqref="A1"/>
    </sheetView>
  </sheetViews>
  <sheetFormatPr defaultRowHeight="14.25"/>
  <cols>
    <col bestFit="1" min="1" max="1" width="9.00390625"/>
    <col bestFit="1" min="2" max="2" width="13.57421875"/>
    <col bestFit="1" min="3" max="3" width="13.8515625"/>
    <col bestFit="1" min="4" max="4" width="15.140625"/>
    <col bestFit="1" min="5" max="5" width="14.57421875"/>
    <col bestFit="1" min="6" max="6" width="13.57421875"/>
    <col bestFit="1" customWidth="1" min="7" max="7" width="12.7109375"/>
    <col bestFit="1" min="8" max="8" width="10.7109375"/>
    <col bestFit="1" min="9" max="9" width="9.57421875"/>
    <col bestFit="1" min="10" max="10" width="7.7109375"/>
    <col bestFit="1" min="17" max="17" width="11.0039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Q1" t="s">
        <v>10</v>
      </c>
    </row>
    <row r="2" ht="14.25">
      <c r="A2">
        <v>6312</v>
      </c>
      <c r="B2">
        <v>176.87</v>
      </c>
      <c r="C2">
        <v>1.77</v>
      </c>
      <c r="D2">
        <v>159</v>
      </c>
      <c r="E2">
        <v>24.899999999999999</v>
      </c>
      <c r="F2">
        <f t="shared" ref="F2:F9" si="0">ROUND(A2/60000,1)</f>
        <v>0.10000000000000001</v>
      </c>
      <c r="G2">
        <f t="shared" ref="G2:G9" si="1">ROUND((D2/159)*100,1)</f>
        <v>100</v>
      </c>
      <c r="H2">
        <v>37.5</v>
      </c>
      <c r="I2">
        <f t="shared" ref="I2:I9" si="2">ROUND((D2/159)*44,1)</f>
        <v>44</v>
      </c>
      <c r="J2">
        <f t="shared" ref="J2:J9" si="3">37.5-E2</f>
        <v>12.600000000000001</v>
      </c>
      <c r="Q2">
        <v>184.80000000000001</v>
      </c>
    </row>
    <row r="3" ht="14.25">
      <c r="A3">
        <v>12615</v>
      </c>
      <c r="B3">
        <v>175.93000000000001</v>
      </c>
      <c r="C3">
        <v>3.5299999999999998</v>
      </c>
      <c r="D3">
        <v>159</v>
      </c>
      <c r="E3">
        <v>24.899999999999999</v>
      </c>
      <c r="F3">
        <f t="shared" si="0"/>
        <v>0.20000000000000001</v>
      </c>
      <c r="G3">
        <f t="shared" si="1"/>
        <v>100</v>
      </c>
      <c r="H3">
        <v>37.5</v>
      </c>
      <c r="I3">
        <f t="shared" si="2"/>
        <v>44</v>
      </c>
      <c r="J3">
        <f t="shared" si="3"/>
        <v>12.600000000000001</v>
      </c>
      <c r="Q3">
        <v>180.59999999999999</v>
      </c>
    </row>
    <row r="4" ht="14.25">
      <c r="A4">
        <v>18918</v>
      </c>
      <c r="B4">
        <v>175</v>
      </c>
      <c r="C4">
        <v>5.2800000000000002</v>
      </c>
      <c r="D4">
        <v>159</v>
      </c>
      <c r="E4">
        <v>25</v>
      </c>
      <c r="F4">
        <f t="shared" si="0"/>
        <v>0.29999999999999999</v>
      </c>
      <c r="G4">
        <f t="shared" si="1"/>
        <v>100</v>
      </c>
      <c r="H4">
        <v>37.5</v>
      </c>
      <c r="I4">
        <f t="shared" si="2"/>
        <v>44</v>
      </c>
      <c r="J4">
        <f t="shared" si="3"/>
        <v>12.5</v>
      </c>
      <c r="Q4">
        <v>184.80000000000001</v>
      </c>
    </row>
    <row r="5" ht="14.25">
      <c r="A5">
        <v>25222</v>
      </c>
      <c r="B5">
        <v>176.40000000000001</v>
      </c>
      <c r="C5">
        <v>7.04</v>
      </c>
      <c r="D5">
        <v>159</v>
      </c>
      <c r="E5">
        <v>25</v>
      </c>
      <c r="F5">
        <f t="shared" si="0"/>
        <v>0.40000000000000002</v>
      </c>
      <c r="G5">
        <f t="shared" si="1"/>
        <v>100</v>
      </c>
      <c r="H5">
        <v>37.5</v>
      </c>
      <c r="I5">
        <f t="shared" si="2"/>
        <v>44</v>
      </c>
      <c r="J5">
        <f t="shared" si="3"/>
        <v>12.5</v>
      </c>
      <c r="Q5">
        <v>186.19999999999999</v>
      </c>
    </row>
    <row r="6" ht="14.25">
      <c r="A6">
        <v>31524</v>
      </c>
      <c r="B6">
        <v>176.87</v>
      </c>
      <c r="C6">
        <v>8.8100000000000005</v>
      </c>
      <c r="D6">
        <v>159</v>
      </c>
      <c r="E6">
        <v>25</v>
      </c>
      <c r="F6">
        <f t="shared" si="0"/>
        <v>0.5</v>
      </c>
      <c r="G6">
        <f t="shared" si="1"/>
        <v>100</v>
      </c>
      <c r="H6">
        <v>37.5</v>
      </c>
      <c r="I6">
        <f t="shared" si="2"/>
        <v>44</v>
      </c>
      <c r="J6">
        <f t="shared" si="3"/>
        <v>12.5</v>
      </c>
      <c r="Q6">
        <v>183.40000000000001</v>
      </c>
    </row>
    <row r="7" ht="14.25">
      <c r="A7">
        <v>37827</v>
      </c>
      <c r="B7">
        <v>175.93000000000001</v>
      </c>
      <c r="C7">
        <v>10.57</v>
      </c>
      <c r="D7">
        <v>159</v>
      </c>
      <c r="E7">
        <v>24.899999999999999</v>
      </c>
      <c r="F7">
        <f t="shared" si="0"/>
        <v>0.59999999999999998</v>
      </c>
      <c r="G7">
        <f t="shared" si="1"/>
        <v>100</v>
      </c>
      <c r="H7">
        <v>37.5</v>
      </c>
      <c r="I7">
        <f t="shared" si="2"/>
        <v>44</v>
      </c>
      <c r="J7">
        <f t="shared" si="3"/>
        <v>12.600000000000001</v>
      </c>
      <c r="Q7">
        <v>183.40000000000001</v>
      </c>
    </row>
    <row r="8" ht="14.25">
      <c r="A8">
        <v>44130</v>
      </c>
      <c r="B8">
        <v>175.47</v>
      </c>
      <c r="C8">
        <v>12.32</v>
      </c>
      <c r="D8">
        <v>159</v>
      </c>
      <c r="E8">
        <v>25</v>
      </c>
      <c r="F8">
        <f t="shared" si="0"/>
        <v>0.69999999999999996</v>
      </c>
      <c r="G8">
        <f t="shared" si="1"/>
        <v>100</v>
      </c>
      <c r="H8">
        <v>37.5</v>
      </c>
      <c r="I8">
        <f t="shared" si="2"/>
        <v>44</v>
      </c>
      <c r="J8">
        <f t="shared" si="3"/>
        <v>12.5</v>
      </c>
      <c r="Q8">
        <v>179.19999999999999</v>
      </c>
    </row>
    <row r="9" ht="14.25">
      <c r="A9">
        <v>50434</v>
      </c>
      <c r="B9">
        <v>175.93000000000001</v>
      </c>
      <c r="C9">
        <v>14.08</v>
      </c>
      <c r="D9">
        <v>159</v>
      </c>
      <c r="E9">
        <v>25</v>
      </c>
      <c r="F9">
        <f t="shared" si="0"/>
        <v>0.80000000000000004</v>
      </c>
      <c r="G9">
        <f t="shared" si="1"/>
        <v>100</v>
      </c>
      <c r="H9">
        <v>37.5</v>
      </c>
      <c r="I9">
        <f t="shared" si="2"/>
        <v>44</v>
      </c>
      <c r="J9">
        <f t="shared" si="3"/>
        <v>12.5</v>
      </c>
      <c r="Q9">
        <v>183.40000000000001</v>
      </c>
    </row>
    <row r="10" ht="14.25">
      <c r="A10">
        <v>56736</v>
      </c>
      <c r="B10">
        <v>174.06999999999999</v>
      </c>
      <c r="C10">
        <v>15.82</v>
      </c>
      <c r="D10">
        <v>159</v>
      </c>
      <c r="E10">
        <v>25.100000000000001</v>
      </c>
      <c r="F10">
        <f t="shared" ref="F10:F73" si="4">ROUND(A10/60000,1)</f>
        <v>0.90000000000000002</v>
      </c>
      <c r="G10">
        <f t="shared" ref="G10:G73" si="5">ROUND((D10/159)*100,1)</f>
        <v>100</v>
      </c>
      <c r="H10">
        <v>37.5</v>
      </c>
      <c r="I10">
        <f t="shared" ref="I10:I73" si="6">ROUND((D10/159)*44,1)</f>
        <v>44</v>
      </c>
      <c r="J10">
        <f t="shared" ref="J10:J73" si="7">37.5-E10</f>
        <v>12.399999999999999</v>
      </c>
      <c r="Q10">
        <v>182</v>
      </c>
    </row>
    <row r="11" ht="14.25">
      <c r="A11">
        <v>63039</v>
      </c>
      <c r="B11">
        <v>174.53</v>
      </c>
      <c r="C11">
        <v>17.57</v>
      </c>
      <c r="D11">
        <v>159</v>
      </c>
      <c r="E11">
        <v>25.100000000000001</v>
      </c>
      <c r="F11">
        <f t="shared" si="4"/>
        <v>1.1000000000000001</v>
      </c>
      <c r="G11">
        <f t="shared" si="5"/>
        <v>100</v>
      </c>
      <c r="H11">
        <v>37.5</v>
      </c>
      <c r="I11">
        <f t="shared" si="6"/>
        <v>44</v>
      </c>
      <c r="J11">
        <f t="shared" si="7"/>
        <v>12.399999999999999</v>
      </c>
      <c r="Q11">
        <v>180.59999999999999</v>
      </c>
    </row>
    <row r="12" ht="14.25">
      <c r="A12">
        <v>69343</v>
      </c>
      <c r="B12">
        <v>172.19999999999999</v>
      </c>
      <c r="C12">
        <v>19.289999999999999</v>
      </c>
      <c r="D12">
        <v>159</v>
      </c>
      <c r="E12">
        <v>25.199999999999999</v>
      </c>
      <c r="F12">
        <f t="shared" si="4"/>
        <v>1.2</v>
      </c>
      <c r="G12">
        <f t="shared" si="5"/>
        <v>100</v>
      </c>
      <c r="H12">
        <v>37.5</v>
      </c>
      <c r="I12">
        <f t="shared" si="6"/>
        <v>44</v>
      </c>
      <c r="J12">
        <f t="shared" si="7"/>
        <v>12.300000000000001</v>
      </c>
      <c r="Q12">
        <v>180.59999999999999</v>
      </c>
    </row>
    <row r="13" ht="14.25">
      <c r="A13">
        <v>75646</v>
      </c>
      <c r="B13">
        <v>169.87</v>
      </c>
      <c r="C13">
        <v>20.989999999999998</v>
      </c>
      <c r="D13">
        <v>159</v>
      </c>
      <c r="E13">
        <v>25.300000000000001</v>
      </c>
      <c r="F13">
        <f t="shared" si="4"/>
        <v>1.3</v>
      </c>
      <c r="G13">
        <f t="shared" si="5"/>
        <v>100</v>
      </c>
      <c r="H13">
        <v>37.5</v>
      </c>
      <c r="I13">
        <f t="shared" si="6"/>
        <v>44</v>
      </c>
      <c r="J13">
        <f t="shared" si="7"/>
        <v>12.199999999999999</v>
      </c>
      <c r="Q13">
        <v>175</v>
      </c>
    </row>
    <row r="14" ht="14.25">
      <c r="A14">
        <v>81950</v>
      </c>
      <c r="B14">
        <v>170.33000000000001</v>
      </c>
      <c r="C14">
        <v>22.690000000000001</v>
      </c>
      <c r="D14">
        <v>159</v>
      </c>
      <c r="E14">
        <v>25.300000000000001</v>
      </c>
      <c r="F14">
        <f t="shared" si="4"/>
        <v>1.3999999999999999</v>
      </c>
      <c r="G14">
        <f t="shared" si="5"/>
        <v>100</v>
      </c>
      <c r="H14">
        <v>37.5</v>
      </c>
      <c r="I14">
        <f t="shared" si="6"/>
        <v>44</v>
      </c>
      <c r="J14">
        <f t="shared" si="7"/>
        <v>12.199999999999999</v>
      </c>
      <c r="Q14">
        <v>177.80000000000001</v>
      </c>
    </row>
    <row r="15" ht="14.25">
      <c r="A15">
        <v>88254</v>
      </c>
      <c r="B15">
        <v>168.47</v>
      </c>
      <c r="C15">
        <v>24.379999999999999</v>
      </c>
      <c r="D15">
        <v>159</v>
      </c>
      <c r="E15">
        <v>25.600000000000001</v>
      </c>
      <c r="F15">
        <f t="shared" si="4"/>
        <v>1.5</v>
      </c>
      <c r="G15">
        <f t="shared" si="5"/>
        <v>100</v>
      </c>
      <c r="H15">
        <v>37.5</v>
      </c>
      <c r="I15">
        <f t="shared" si="6"/>
        <v>44</v>
      </c>
      <c r="J15">
        <f t="shared" si="7"/>
        <v>11.899999999999999</v>
      </c>
      <c r="Q15">
        <v>176.40000000000001</v>
      </c>
    </row>
    <row r="16" ht="14.25">
      <c r="A16">
        <v>94558</v>
      </c>
      <c r="B16">
        <v>167.53</v>
      </c>
      <c r="C16">
        <v>26.050000000000001</v>
      </c>
      <c r="D16">
        <v>159</v>
      </c>
      <c r="E16">
        <v>25.600000000000001</v>
      </c>
      <c r="F16">
        <f t="shared" si="4"/>
        <v>1.6000000000000001</v>
      </c>
      <c r="G16">
        <f t="shared" si="5"/>
        <v>100</v>
      </c>
      <c r="H16">
        <v>37.5</v>
      </c>
      <c r="I16">
        <f t="shared" si="6"/>
        <v>44</v>
      </c>
      <c r="J16">
        <f t="shared" si="7"/>
        <v>11.899999999999999</v>
      </c>
      <c r="Q16">
        <v>175</v>
      </c>
    </row>
    <row r="17" ht="14.25">
      <c r="A17">
        <v>100859</v>
      </c>
      <c r="B17">
        <v>165.19999999999999</v>
      </c>
      <c r="C17">
        <v>27.710000000000001</v>
      </c>
      <c r="D17">
        <v>159</v>
      </c>
      <c r="E17">
        <v>25.800000000000001</v>
      </c>
      <c r="F17">
        <f t="shared" si="4"/>
        <v>1.7</v>
      </c>
      <c r="G17">
        <f t="shared" si="5"/>
        <v>100</v>
      </c>
      <c r="H17">
        <v>37.5</v>
      </c>
      <c r="I17">
        <f t="shared" si="6"/>
        <v>44</v>
      </c>
      <c r="J17">
        <f t="shared" si="7"/>
        <v>11.699999999999999</v>
      </c>
      <c r="Q17">
        <v>173.59999999999999</v>
      </c>
    </row>
    <row r="18" ht="14.25">
      <c r="A18">
        <v>107163</v>
      </c>
      <c r="B18">
        <v>164.27000000000001</v>
      </c>
      <c r="C18">
        <v>29.350000000000001</v>
      </c>
      <c r="D18">
        <v>159</v>
      </c>
      <c r="E18">
        <v>25.899999999999999</v>
      </c>
      <c r="F18">
        <f t="shared" si="4"/>
        <v>1.8</v>
      </c>
      <c r="G18">
        <f t="shared" si="5"/>
        <v>100</v>
      </c>
      <c r="H18">
        <v>37.5</v>
      </c>
      <c r="I18">
        <f t="shared" si="6"/>
        <v>44</v>
      </c>
      <c r="J18">
        <f t="shared" si="7"/>
        <v>11.600000000000001</v>
      </c>
      <c r="Q18">
        <v>172.19999999999999</v>
      </c>
    </row>
    <row r="19" ht="14.25">
      <c r="A19">
        <v>113465</v>
      </c>
      <c r="B19">
        <v>160.53</v>
      </c>
      <c r="C19">
        <v>30.949999999999999</v>
      </c>
      <c r="D19">
        <v>159</v>
      </c>
      <c r="E19">
        <v>26</v>
      </c>
      <c r="F19">
        <f t="shared" si="4"/>
        <v>1.8999999999999999</v>
      </c>
      <c r="G19">
        <f t="shared" si="5"/>
        <v>100</v>
      </c>
      <c r="H19">
        <v>37.5</v>
      </c>
      <c r="I19">
        <f t="shared" si="6"/>
        <v>44</v>
      </c>
      <c r="J19">
        <f t="shared" si="7"/>
        <v>11.5</v>
      </c>
      <c r="Q19">
        <v>165.19999999999999</v>
      </c>
    </row>
    <row r="20" ht="14.25">
      <c r="A20">
        <v>119770</v>
      </c>
      <c r="B20">
        <v>159.13</v>
      </c>
      <c r="C20">
        <v>32.549999999999997</v>
      </c>
      <c r="D20">
        <v>159</v>
      </c>
      <c r="E20">
        <v>26.300000000000001</v>
      </c>
      <c r="F20">
        <f t="shared" si="4"/>
        <v>2</v>
      </c>
      <c r="G20">
        <f t="shared" si="5"/>
        <v>100</v>
      </c>
      <c r="H20">
        <v>37.5</v>
      </c>
      <c r="I20">
        <f t="shared" si="6"/>
        <v>44</v>
      </c>
      <c r="J20">
        <f t="shared" si="7"/>
        <v>11.199999999999999</v>
      </c>
      <c r="Q20">
        <v>168</v>
      </c>
    </row>
    <row r="21" ht="14.25">
      <c r="A21">
        <v>126072</v>
      </c>
      <c r="B21">
        <v>157.72999999999999</v>
      </c>
      <c r="C21">
        <v>34.119999999999997</v>
      </c>
      <c r="D21">
        <v>159</v>
      </c>
      <c r="E21">
        <v>26.300000000000001</v>
      </c>
      <c r="F21">
        <f t="shared" si="4"/>
        <v>2.1000000000000001</v>
      </c>
      <c r="G21">
        <f t="shared" si="5"/>
        <v>100</v>
      </c>
      <c r="H21">
        <v>37.5</v>
      </c>
      <c r="I21">
        <f t="shared" si="6"/>
        <v>44</v>
      </c>
      <c r="J21">
        <f t="shared" si="7"/>
        <v>11.199999999999999</v>
      </c>
      <c r="Q21">
        <v>165.19999999999999</v>
      </c>
    </row>
    <row r="22" ht="14.25">
      <c r="A22">
        <v>132375</v>
      </c>
      <c r="B22">
        <v>154.47</v>
      </c>
      <c r="C22">
        <v>35.670000000000002</v>
      </c>
      <c r="D22">
        <v>159</v>
      </c>
      <c r="E22">
        <v>26.5</v>
      </c>
      <c r="F22">
        <f t="shared" si="4"/>
        <v>2.2000000000000002</v>
      </c>
      <c r="G22">
        <f t="shared" si="5"/>
        <v>100</v>
      </c>
      <c r="H22">
        <v>37.5</v>
      </c>
      <c r="I22">
        <f t="shared" si="6"/>
        <v>44</v>
      </c>
      <c r="J22">
        <f t="shared" si="7"/>
        <v>11</v>
      </c>
      <c r="Q22">
        <v>163.80000000000001</v>
      </c>
    </row>
    <row r="23" ht="14.25">
      <c r="A23">
        <v>138677</v>
      </c>
      <c r="B23">
        <v>154.47</v>
      </c>
      <c r="C23">
        <v>37.210000000000001</v>
      </c>
      <c r="D23">
        <v>159</v>
      </c>
      <c r="E23">
        <v>26.600000000000001</v>
      </c>
      <c r="F23">
        <f t="shared" si="4"/>
        <v>2.2999999999999998</v>
      </c>
      <c r="G23">
        <f t="shared" si="5"/>
        <v>100</v>
      </c>
      <c r="H23">
        <v>37.5</v>
      </c>
      <c r="I23">
        <f t="shared" si="6"/>
        <v>44</v>
      </c>
      <c r="J23">
        <f t="shared" si="7"/>
        <v>10.899999999999999</v>
      </c>
      <c r="Q23">
        <v>159.59999999999999</v>
      </c>
    </row>
    <row r="24" ht="14.25">
      <c r="A24">
        <v>144982</v>
      </c>
      <c r="B24">
        <v>149.33000000000001</v>
      </c>
      <c r="C24">
        <v>38.710000000000001</v>
      </c>
      <c r="D24">
        <v>159</v>
      </c>
      <c r="E24">
        <v>26.899999999999999</v>
      </c>
      <c r="F24">
        <f t="shared" si="4"/>
        <v>2.3999999999999999</v>
      </c>
      <c r="G24">
        <f t="shared" si="5"/>
        <v>100</v>
      </c>
      <c r="H24">
        <v>37.5</v>
      </c>
      <c r="I24">
        <f t="shared" si="6"/>
        <v>44</v>
      </c>
      <c r="J24">
        <f t="shared" si="7"/>
        <v>10.600000000000001</v>
      </c>
      <c r="Q24">
        <v>155.40000000000001</v>
      </c>
    </row>
    <row r="25" ht="14.25">
      <c r="A25">
        <v>151284</v>
      </c>
      <c r="B25">
        <v>148.40000000000001</v>
      </c>
      <c r="C25">
        <v>40.189999999999998</v>
      </c>
      <c r="D25">
        <v>159</v>
      </c>
      <c r="E25">
        <v>27</v>
      </c>
      <c r="F25">
        <f t="shared" si="4"/>
        <v>2.5</v>
      </c>
      <c r="G25">
        <f t="shared" si="5"/>
        <v>100</v>
      </c>
      <c r="H25">
        <v>37.5</v>
      </c>
      <c r="I25">
        <f t="shared" si="6"/>
        <v>44</v>
      </c>
      <c r="J25">
        <f t="shared" si="7"/>
        <v>10.5</v>
      </c>
      <c r="Q25">
        <v>154</v>
      </c>
    </row>
    <row r="26" ht="14.25">
      <c r="A26">
        <v>157588</v>
      </c>
      <c r="B26">
        <v>144.19999999999999</v>
      </c>
      <c r="C26">
        <v>41.630000000000003</v>
      </c>
      <c r="D26">
        <v>159</v>
      </c>
      <c r="E26">
        <v>27.100000000000001</v>
      </c>
      <c r="F26">
        <f t="shared" si="4"/>
        <v>2.6000000000000001</v>
      </c>
      <c r="G26">
        <f t="shared" si="5"/>
        <v>100</v>
      </c>
      <c r="H26">
        <v>37.5</v>
      </c>
      <c r="I26">
        <f t="shared" si="6"/>
        <v>44</v>
      </c>
      <c r="J26">
        <f t="shared" si="7"/>
        <v>10.399999999999999</v>
      </c>
      <c r="Q26">
        <v>152.59999999999999</v>
      </c>
    </row>
    <row r="27" ht="14.25">
      <c r="A27">
        <v>163892</v>
      </c>
      <c r="B27">
        <v>141.40000000000001</v>
      </c>
      <c r="C27">
        <v>43.049999999999997</v>
      </c>
      <c r="D27">
        <v>159</v>
      </c>
      <c r="E27">
        <v>27.5</v>
      </c>
      <c r="F27">
        <f t="shared" si="4"/>
        <v>2.7000000000000002</v>
      </c>
      <c r="G27">
        <f t="shared" si="5"/>
        <v>100</v>
      </c>
      <c r="H27">
        <v>37.5</v>
      </c>
      <c r="I27">
        <f t="shared" si="6"/>
        <v>44</v>
      </c>
      <c r="J27">
        <f t="shared" si="7"/>
        <v>10</v>
      </c>
      <c r="Q27">
        <v>148.40000000000001</v>
      </c>
    </row>
    <row r="28" ht="14.25">
      <c r="A28">
        <v>170195</v>
      </c>
      <c r="B28">
        <v>139.06999999999999</v>
      </c>
      <c r="C28">
        <v>44.439999999999998</v>
      </c>
      <c r="D28">
        <v>159</v>
      </c>
      <c r="E28">
        <v>27.600000000000001</v>
      </c>
      <c r="F28">
        <f t="shared" si="4"/>
        <v>2.7999999999999998</v>
      </c>
      <c r="G28">
        <f t="shared" si="5"/>
        <v>100</v>
      </c>
      <c r="H28">
        <v>37.5</v>
      </c>
      <c r="I28">
        <f t="shared" si="6"/>
        <v>44</v>
      </c>
      <c r="J28">
        <f t="shared" si="7"/>
        <v>9.8999999999999986</v>
      </c>
      <c r="Q28">
        <v>145.59999999999999</v>
      </c>
    </row>
    <row r="29" ht="14.25">
      <c r="A29">
        <v>176498</v>
      </c>
      <c r="B29">
        <v>135.33000000000001</v>
      </c>
      <c r="C29">
        <v>45.789999999999999</v>
      </c>
      <c r="D29">
        <v>159</v>
      </c>
      <c r="E29">
        <v>28</v>
      </c>
      <c r="F29">
        <f t="shared" si="4"/>
        <v>2.8999999999999999</v>
      </c>
      <c r="G29">
        <f t="shared" si="5"/>
        <v>100</v>
      </c>
      <c r="H29">
        <v>37.5</v>
      </c>
      <c r="I29">
        <f t="shared" si="6"/>
        <v>44</v>
      </c>
      <c r="J29">
        <f t="shared" si="7"/>
        <v>9.5</v>
      </c>
      <c r="Q29">
        <v>145.59999999999999</v>
      </c>
    </row>
    <row r="30" ht="14.25">
      <c r="A30">
        <v>182802</v>
      </c>
      <c r="B30">
        <v>133</v>
      </c>
      <c r="C30">
        <v>47.119999999999997</v>
      </c>
      <c r="D30">
        <v>159</v>
      </c>
      <c r="E30">
        <v>28.199999999999999</v>
      </c>
      <c r="F30">
        <f t="shared" si="4"/>
        <v>3</v>
      </c>
      <c r="G30">
        <f t="shared" si="5"/>
        <v>100</v>
      </c>
      <c r="H30">
        <v>37.5</v>
      </c>
      <c r="I30">
        <f t="shared" si="6"/>
        <v>44</v>
      </c>
      <c r="J30">
        <f t="shared" si="7"/>
        <v>9.3000000000000007</v>
      </c>
      <c r="Q30">
        <v>140</v>
      </c>
    </row>
    <row r="31" ht="14.25">
      <c r="A31">
        <v>189106</v>
      </c>
      <c r="B31">
        <v>129.72999999999999</v>
      </c>
      <c r="C31">
        <v>48.420000000000002</v>
      </c>
      <c r="D31">
        <v>159</v>
      </c>
      <c r="E31">
        <v>28.300000000000001</v>
      </c>
      <c r="F31">
        <f t="shared" si="4"/>
        <v>3.2000000000000002</v>
      </c>
      <c r="G31">
        <f t="shared" si="5"/>
        <v>100</v>
      </c>
      <c r="H31">
        <v>37.5</v>
      </c>
      <c r="I31">
        <f t="shared" si="6"/>
        <v>44</v>
      </c>
      <c r="J31">
        <f t="shared" si="7"/>
        <v>9.1999999999999993</v>
      </c>
      <c r="Q31">
        <v>135.80000000000001</v>
      </c>
    </row>
    <row r="32" ht="14.25">
      <c r="A32">
        <v>195408</v>
      </c>
      <c r="B32">
        <v>127.40000000000001</v>
      </c>
      <c r="C32">
        <v>49.689999999999998</v>
      </c>
      <c r="D32">
        <v>159</v>
      </c>
      <c r="E32">
        <v>28.5</v>
      </c>
      <c r="F32">
        <f t="shared" si="4"/>
        <v>3.2999999999999998</v>
      </c>
      <c r="G32">
        <f t="shared" si="5"/>
        <v>100</v>
      </c>
      <c r="H32">
        <v>37.5</v>
      </c>
      <c r="I32">
        <f t="shared" si="6"/>
        <v>44</v>
      </c>
      <c r="J32">
        <f t="shared" si="7"/>
        <v>9</v>
      </c>
      <c r="Q32">
        <v>131.59999999999999</v>
      </c>
    </row>
    <row r="33" ht="14.25">
      <c r="A33">
        <v>201711</v>
      </c>
      <c r="B33">
        <v>122.73</v>
      </c>
      <c r="C33">
        <v>50.920000000000002</v>
      </c>
      <c r="D33">
        <v>159</v>
      </c>
      <c r="E33">
        <v>28.5</v>
      </c>
      <c r="F33">
        <f t="shared" si="4"/>
        <v>3.3999999999999999</v>
      </c>
      <c r="G33">
        <f t="shared" si="5"/>
        <v>100</v>
      </c>
      <c r="H33">
        <v>37.5</v>
      </c>
      <c r="I33">
        <f t="shared" si="6"/>
        <v>44</v>
      </c>
      <c r="J33">
        <f t="shared" si="7"/>
        <v>9</v>
      </c>
      <c r="Q33">
        <v>128.80000000000001</v>
      </c>
    </row>
    <row r="34" ht="14.25">
      <c r="A34">
        <v>208014</v>
      </c>
      <c r="B34">
        <v>119</v>
      </c>
      <c r="C34">
        <v>52.109999999999999</v>
      </c>
      <c r="D34">
        <v>159</v>
      </c>
      <c r="E34">
        <v>29.300000000000001</v>
      </c>
      <c r="F34">
        <f t="shared" si="4"/>
        <v>3.5</v>
      </c>
      <c r="G34">
        <f t="shared" si="5"/>
        <v>100</v>
      </c>
      <c r="H34">
        <v>37.5</v>
      </c>
      <c r="I34">
        <f t="shared" si="6"/>
        <v>44</v>
      </c>
      <c r="J34">
        <f t="shared" si="7"/>
        <v>8.1999999999999993</v>
      </c>
      <c r="Q34">
        <v>128.80000000000001</v>
      </c>
    </row>
    <row r="35" ht="14.25">
      <c r="A35">
        <v>214318</v>
      </c>
      <c r="B35">
        <v>116.67</v>
      </c>
      <c r="C35">
        <v>53.270000000000003</v>
      </c>
      <c r="D35">
        <v>159</v>
      </c>
      <c r="E35">
        <v>29.399999999999999</v>
      </c>
      <c r="F35">
        <f t="shared" si="4"/>
        <v>3.6000000000000001</v>
      </c>
      <c r="G35">
        <f t="shared" si="5"/>
        <v>100</v>
      </c>
      <c r="H35">
        <v>37.5</v>
      </c>
      <c r="I35">
        <f t="shared" si="6"/>
        <v>44</v>
      </c>
      <c r="J35">
        <f t="shared" si="7"/>
        <v>8.1000000000000014</v>
      </c>
      <c r="Q35">
        <v>126</v>
      </c>
    </row>
    <row r="36" ht="14.25">
      <c r="A36">
        <v>220619</v>
      </c>
      <c r="B36">
        <v>114.33</v>
      </c>
      <c r="C36">
        <v>54.420000000000002</v>
      </c>
      <c r="D36">
        <v>159</v>
      </c>
      <c r="E36">
        <v>29.600000000000001</v>
      </c>
      <c r="F36">
        <f t="shared" si="4"/>
        <v>3.7000000000000002</v>
      </c>
      <c r="G36">
        <f t="shared" si="5"/>
        <v>100</v>
      </c>
      <c r="H36">
        <v>37.5</v>
      </c>
      <c r="I36">
        <f t="shared" si="6"/>
        <v>44</v>
      </c>
      <c r="J36">
        <f t="shared" si="7"/>
        <v>7.8999999999999986</v>
      </c>
      <c r="Q36">
        <v>117.59999999999999</v>
      </c>
    </row>
    <row r="37" ht="14.25">
      <c r="A37">
        <v>226923</v>
      </c>
      <c r="B37">
        <v>111.53</v>
      </c>
      <c r="C37">
        <v>55.530000000000001</v>
      </c>
      <c r="D37">
        <v>159</v>
      </c>
      <c r="E37">
        <v>29.800000000000001</v>
      </c>
      <c r="F37">
        <f t="shared" si="4"/>
        <v>3.7999999999999998</v>
      </c>
      <c r="G37">
        <f t="shared" si="5"/>
        <v>100</v>
      </c>
      <c r="H37">
        <v>37.5</v>
      </c>
      <c r="I37">
        <f t="shared" si="6"/>
        <v>44</v>
      </c>
      <c r="J37">
        <f t="shared" si="7"/>
        <v>7.6999999999999993</v>
      </c>
      <c r="Q37">
        <v>120.40000000000001</v>
      </c>
    </row>
    <row r="38" ht="14.25">
      <c r="A38">
        <v>233225</v>
      </c>
      <c r="B38">
        <v>105.93000000000001</v>
      </c>
      <c r="C38">
        <v>56.590000000000003</v>
      </c>
      <c r="D38">
        <v>159</v>
      </c>
      <c r="E38">
        <v>30.100000000000001</v>
      </c>
      <c r="F38">
        <f t="shared" si="4"/>
        <v>3.8999999999999999</v>
      </c>
      <c r="G38">
        <f t="shared" si="5"/>
        <v>100</v>
      </c>
      <c r="H38">
        <v>37.5</v>
      </c>
      <c r="I38">
        <f t="shared" si="6"/>
        <v>44</v>
      </c>
      <c r="J38">
        <f t="shared" si="7"/>
        <v>7.3999999999999986</v>
      </c>
      <c r="Q38">
        <v>110.59999999999999</v>
      </c>
    </row>
    <row r="39" ht="14.25">
      <c r="A39">
        <v>239528</v>
      </c>
      <c r="B39">
        <v>103.59999999999999</v>
      </c>
      <c r="C39">
        <v>57.630000000000003</v>
      </c>
      <c r="D39">
        <v>159</v>
      </c>
      <c r="E39">
        <v>30.100000000000001</v>
      </c>
      <c r="F39">
        <f t="shared" si="4"/>
        <v>4</v>
      </c>
      <c r="G39">
        <f t="shared" si="5"/>
        <v>100</v>
      </c>
      <c r="H39">
        <v>37.5</v>
      </c>
      <c r="I39">
        <f t="shared" si="6"/>
        <v>44</v>
      </c>
      <c r="J39">
        <f t="shared" si="7"/>
        <v>7.3999999999999986</v>
      </c>
      <c r="Q39">
        <v>110.59999999999999</v>
      </c>
    </row>
    <row r="40" ht="14.25">
      <c r="A40">
        <v>245833</v>
      </c>
      <c r="B40">
        <v>101.27</v>
      </c>
      <c r="C40">
        <v>58.640000000000001</v>
      </c>
      <c r="D40">
        <v>159</v>
      </c>
      <c r="E40">
        <v>30.300000000000001</v>
      </c>
      <c r="F40">
        <f t="shared" si="4"/>
        <v>4.0999999999999996</v>
      </c>
      <c r="G40">
        <f t="shared" si="5"/>
        <v>100</v>
      </c>
      <c r="H40">
        <v>37.5</v>
      </c>
      <c r="I40">
        <f t="shared" si="6"/>
        <v>44</v>
      </c>
      <c r="J40">
        <f t="shared" si="7"/>
        <v>7.1999999999999993</v>
      </c>
      <c r="Q40">
        <v>107.8</v>
      </c>
    </row>
    <row r="41" ht="14.25">
      <c r="A41">
        <v>252137</v>
      </c>
      <c r="B41">
        <v>97.530000000000001</v>
      </c>
      <c r="C41">
        <v>59.619999999999997</v>
      </c>
      <c r="D41">
        <v>157</v>
      </c>
      <c r="E41">
        <v>30.5</v>
      </c>
      <c r="F41">
        <f t="shared" si="4"/>
        <v>4.2000000000000002</v>
      </c>
      <c r="G41">
        <f t="shared" si="5"/>
        <v>98.700000000000003</v>
      </c>
      <c r="H41">
        <v>37.5</v>
      </c>
      <c r="I41">
        <f t="shared" si="6"/>
        <v>43.399999999999999</v>
      </c>
      <c r="J41">
        <f t="shared" si="7"/>
        <v>7</v>
      </c>
      <c r="Q41">
        <v>105</v>
      </c>
    </row>
    <row r="42" ht="14.25">
      <c r="A42">
        <v>258441</v>
      </c>
      <c r="B42">
        <v>93.799999999999997</v>
      </c>
      <c r="C42">
        <v>60.549999999999997</v>
      </c>
      <c r="D42">
        <v>154</v>
      </c>
      <c r="E42">
        <v>30.899999999999999</v>
      </c>
      <c r="F42">
        <f t="shared" si="4"/>
        <v>4.2999999999999998</v>
      </c>
      <c r="G42">
        <f t="shared" si="5"/>
        <v>96.900000000000006</v>
      </c>
      <c r="H42">
        <v>37.5</v>
      </c>
      <c r="I42">
        <f t="shared" si="6"/>
        <v>42.600000000000001</v>
      </c>
      <c r="J42">
        <f t="shared" si="7"/>
        <v>6.6000000000000014</v>
      </c>
      <c r="Q42">
        <v>100.8</v>
      </c>
    </row>
    <row r="43" ht="14.25">
      <c r="A43">
        <v>264744</v>
      </c>
      <c r="B43">
        <v>91.469999999999999</v>
      </c>
      <c r="C43">
        <v>61.469999999999999</v>
      </c>
      <c r="D43">
        <v>152</v>
      </c>
      <c r="E43">
        <v>31</v>
      </c>
      <c r="F43">
        <f t="shared" si="4"/>
        <v>4.4000000000000004</v>
      </c>
      <c r="G43">
        <f t="shared" si="5"/>
        <v>95.599999999999994</v>
      </c>
      <c r="H43">
        <v>37.5</v>
      </c>
      <c r="I43">
        <f t="shared" si="6"/>
        <v>42.100000000000001</v>
      </c>
      <c r="J43">
        <f t="shared" si="7"/>
        <v>6.5</v>
      </c>
      <c r="Q43">
        <v>93.799999999999997</v>
      </c>
    </row>
    <row r="44" ht="14.25">
      <c r="A44">
        <v>271047</v>
      </c>
      <c r="B44">
        <v>85.870000000000005</v>
      </c>
      <c r="C44">
        <v>62.329999999999998</v>
      </c>
      <c r="D44">
        <v>148</v>
      </c>
      <c r="E44">
        <v>31.600000000000001</v>
      </c>
      <c r="F44">
        <f t="shared" si="4"/>
        <v>4.5</v>
      </c>
      <c r="G44">
        <f t="shared" si="5"/>
        <v>93.099999999999994</v>
      </c>
      <c r="H44">
        <v>37.5</v>
      </c>
      <c r="I44">
        <f t="shared" si="6"/>
        <v>41</v>
      </c>
      <c r="J44">
        <f t="shared" si="7"/>
        <v>5.8999999999999986</v>
      </c>
      <c r="Q44">
        <v>93.799999999999997</v>
      </c>
    </row>
    <row r="45" ht="14.25">
      <c r="A45">
        <v>277350</v>
      </c>
      <c r="B45">
        <v>81.670000000000002</v>
      </c>
      <c r="C45">
        <v>63.140000000000001</v>
      </c>
      <c r="D45">
        <v>144</v>
      </c>
      <c r="E45">
        <v>31.800000000000001</v>
      </c>
      <c r="F45">
        <f t="shared" si="4"/>
        <v>4.5999999999999996</v>
      </c>
      <c r="G45">
        <f t="shared" si="5"/>
        <v>90.599999999999994</v>
      </c>
      <c r="H45">
        <v>37.5</v>
      </c>
      <c r="I45">
        <f t="shared" si="6"/>
        <v>39.799999999999997</v>
      </c>
      <c r="J45">
        <f t="shared" si="7"/>
        <v>5.6999999999999993</v>
      </c>
      <c r="Q45">
        <v>88.200000000000003</v>
      </c>
    </row>
    <row r="46" ht="14.25">
      <c r="A46">
        <v>283654</v>
      </c>
      <c r="B46">
        <v>78.400000000000006</v>
      </c>
      <c r="C46">
        <v>63.93</v>
      </c>
      <c r="D46">
        <v>142</v>
      </c>
      <c r="E46">
        <v>32.100000000000001</v>
      </c>
      <c r="F46">
        <f t="shared" si="4"/>
        <v>4.7000000000000002</v>
      </c>
      <c r="G46">
        <f t="shared" si="5"/>
        <v>89.299999999999997</v>
      </c>
      <c r="H46">
        <v>37.5</v>
      </c>
      <c r="I46">
        <f t="shared" si="6"/>
        <v>39.299999999999997</v>
      </c>
      <c r="J46">
        <f t="shared" si="7"/>
        <v>5.3999999999999986</v>
      </c>
      <c r="Q46">
        <v>86.799999999999997</v>
      </c>
    </row>
    <row r="47" ht="14.25">
      <c r="A47">
        <v>289956</v>
      </c>
      <c r="B47">
        <v>75.599999999999994</v>
      </c>
      <c r="C47">
        <v>64.680000000000007</v>
      </c>
      <c r="D47">
        <v>140</v>
      </c>
      <c r="E47">
        <v>32.100000000000001</v>
      </c>
      <c r="F47">
        <f t="shared" si="4"/>
        <v>4.7999999999999998</v>
      </c>
      <c r="G47">
        <f t="shared" si="5"/>
        <v>88.099999999999994</v>
      </c>
      <c r="H47">
        <v>37.5</v>
      </c>
      <c r="I47">
        <f t="shared" si="6"/>
        <v>38.700000000000003</v>
      </c>
      <c r="J47">
        <f t="shared" si="7"/>
        <v>5.3999999999999986</v>
      </c>
      <c r="Q47">
        <v>81.200000000000003</v>
      </c>
    </row>
    <row r="48" ht="14.25">
      <c r="A48">
        <v>296258</v>
      </c>
      <c r="B48">
        <v>72.799999999999997</v>
      </c>
      <c r="C48">
        <v>65.409999999999997</v>
      </c>
      <c r="D48">
        <v>138</v>
      </c>
      <c r="E48">
        <v>32.5</v>
      </c>
      <c r="F48">
        <f t="shared" si="4"/>
        <v>4.9000000000000004</v>
      </c>
      <c r="G48">
        <f t="shared" si="5"/>
        <v>86.799999999999997</v>
      </c>
      <c r="H48">
        <v>37.5</v>
      </c>
      <c r="I48">
        <f t="shared" si="6"/>
        <v>38.200000000000003</v>
      </c>
      <c r="J48">
        <f t="shared" si="7"/>
        <v>5</v>
      </c>
      <c r="Q48">
        <v>78.400000000000006</v>
      </c>
    </row>
    <row r="49" ht="14.25">
      <c r="A49">
        <v>302562</v>
      </c>
      <c r="B49">
        <v>68.599999999999994</v>
      </c>
      <c r="C49">
        <v>66.099999999999994</v>
      </c>
      <c r="D49">
        <v>134</v>
      </c>
      <c r="E49">
        <v>32.700000000000003</v>
      </c>
      <c r="F49">
        <f t="shared" si="4"/>
        <v>5</v>
      </c>
      <c r="G49">
        <f t="shared" si="5"/>
        <v>84.299999999999997</v>
      </c>
      <c r="H49">
        <v>37.5</v>
      </c>
      <c r="I49">
        <f t="shared" si="6"/>
        <v>37.100000000000001</v>
      </c>
      <c r="J49">
        <f t="shared" si="7"/>
        <v>4.7999999999999972</v>
      </c>
      <c r="Q49">
        <v>74.200000000000003</v>
      </c>
    </row>
    <row r="50" ht="14.25">
      <c r="A50">
        <v>308866</v>
      </c>
      <c r="B50">
        <v>66.269999999999996</v>
      </c>
      <c r="C50">
        <v>66.760000000000005</v>
      </c>
      <c r="D50">
        <v>133</v>
      </c>
      <c r="E50">
        <v>32.700000000000003</v>
      </c>
      <c r="F50">
        <f t="shared" si="4"/>
        <v>5.0999999999999996</v>
      </c>
      <c r="G50">
        <f t="shared" si="5"/>
        <v>83.599999999999994</v>
      </c>
      <c r="H50">
        <v>37.5</v>
      </c>
      <c r="I50">
        <f t="shared" si="6"/>
        <v>36.799999999999997</v>
      </c>
      <c r="J50">
        <f t="shared" si="7"/>
        <v>4.7999999999999972</v>
      </c>
      <c r="Q50">
        <v>74.200000000000003</v>
      </c>
    </row>
    <row r="51" ht="14.25">
      <c r="A51">
        <v>315167</v>
      </c>
      <c r="B51">
        <v>61.600000000000001</v>
      </c>
      <c r="C51">
        <v>67.379999999999995</v>
      </c>
      <c r="D51">
        <v>128</v>
      </c>
      <c r="E51">
        <v>33</v>
      </c>
      <c r="F51">
        <f t="shared" si="4"/>
        <v>5.2999999999999998</v>
      </c>
      <c r="G51">
        <f t="shared" si="5"/>
        <v>80.5</v>
      </c>
      <c r="H51">
        <v>37.5</v>
      </c>
      <c r="I51">
        <f t="shared" si="6"/>
        <v>35.399999999999999</v>
      </c>
      <c r="J51">
        <f t="shared" si="7"/>
        <v>4.5</v>
      </c>
      <c r="Q51">
        <v>70</v>
      </c>
    </row>
    <row r="52" ht="14.25">
      <c r="A52">
        <v>321470</v>
      </c>
      <c r="B52">
        <v>57.399999999999999</v>
      </c>
      <c r="C52">
        <v>67.950000000000003</v>
      </c>
      <c r="D52">
        <v>125</v>
      </c>
      <c r="E52">
        <v>33.600000000000001</v>
      </c>
      <c r="F52">
        <f t="shared" si="4"/>
        <v>5.4000000000000004</v>
      </c>
      <c r="G52">
        <f t="shared" si="5"/>
        <v>78.599999999999994</v>
      </c>
      <c r="H52">
        <v>37.5</v>
      </c>
      <c r="I52">
        <f t="shared" si="6"/>
        <v>34.600000000000001</v>
      </c>
      <c r="J52">
        <f t="shared" si="7"/>
        <v>3.8999999999999986</v>
      </c>
      <c r="Q52">
        <v>65.799999999999997</v>
      </c>
    </row>
    <row r="53" ht="14.25">
      <c r="A53">
        <v>327775</v>
      </c>
      <c r="B53">
        <v>54.130000000000003</v>
      </c>
      <c r="C53">
        <v>68.489999999999995</v>
      </c>
      <c r="D53">
        <v>122</v>
      </c>
      <c r="E53">
        <v>33.799999999999997</v>
      </c>
      <c r="F53">
        <f t="shared" si="4"/>
        <v>5.5</v>
      </c>
      <c r="G53">
        <f t="shared" si="5"/>
        <v>76.700000000000003</v>
      </c>
      <c r="H53">
        <v>37.5</v>
      </c>
      <c r="I53">
        <f t="shared" si="6"/>
        <v>33.799999999999997</v>
      </c>
      <c r="J53">
        <f t="shared" si="7"/>
        <v>3.7000000000000028</v>
      </c>
      <c r="Q53">
        <v>58.799999999999997</v>
      </c>
    </row>
    <row r="54" ht="14.25">
      <c r="A54">
        <v>334077</v>
      </c>
      <c r="B54">
        <v>51.799999999999997</v>
      </c>
      <c r="C54">
        <v>69.010000000000005</v>
      </c>
      <c r="D54">
        <v>120</v>
      </c>
      <c r="E54">
        <v>34</v>
      </c>
      <c r="F54">
        <f t="shared" si="4"/>
        <v>5.5999999999999996</v>
      </c>
      <c r="G54">
        <f t="shared" si="5"/>
        <v>75.5</v>
      </c>
      <c r="H54">
        <v>37.5</v>
      </c>
      <c r="I54">
        <f t="shared" si="6"/>
        <v>33.200000000000003</v>
      </c>
      <c r="J54">
        <f t="shared" si="7"/>
        <v>3.5</v>
      </c>
      <c r="Q54">
        <v>58.799999999999997</v>
      </c>
    </row>
    <row r="55" ht="14.25">
      <c r="A55">
        <v>340382</v>
      </c>
      <c r="B55">
        <v>47.600000000000001</v>
      </c>
      <c r="C55">
        <v>69.489999999999995</v>
      </c>
      <c r="D55">
        <v>117</v>
      </c>
      <c r="E55">
        <v>34.200000000000003</v>
      </c>
      <c r="F55">
        <f t="shared" si="4"/>
        <v>5.7000000000000002</v>
      </c>
      <c r="G55">
        <f t="shared" si="5"/>
        <v>73.599999999999994</v>
      </c>
      <c r="H55">
        <v>37.5</v>
      </c>
      <c r="I55">
        <f t="shared" si="6"/>
        <v>32.399999999999999</v>
      </c>
      <c r="J55">
        <f t="shared" si="7"/>
        <v>3.2999999999999972</v>
      </c>
      <c r="Q55">
        <v>51.799999999999997</v>
      </c>
    </row>
    <row r="56" ht="14.25">
      <c r="A56">
        <v>346686</v>
      </c>
      <c r="B56">
        <v>45.270000000000003</v>
      </c>
      <c r="C56">
        <v>69.939999999999998</v>
      </c>
      <c r="D56">
        <v>115</v>
      </c>
      <c r="E56">
        <v>34.200000000000003</v>
      </c>
      <c r="F56">
        <f t="shared" si="4"/>
        <v>5.7999999999999998</v>
      </c>
      <c r="G56">
        <f t="shared" si="5"/>
        <v>72.299999999999997</v>
      </c>
      <c r="H56">
        <v>37.5</v>
      </c>
      <c r="I56">
        <f t="shared" si="6"/>
        <v>31.800000000000001</v>
      </c>
      <c r="J56">
        <f t="shared" si="7"/>
        <v>3.2999999999999972</v>
      </c>
      <c r="Q56">
        <v>47.600000000000001</v>
      </c>
    </row>
    <row r="57" ht="14.25">
      <c r="A57">
        <v>352989</v>
      </c>
      <c r="B57">
        <v>41.530000000000001</v>
      </c>
      <c r="C57">
        <v>70.349999999999994</v>
      </c>
      <c r="D57">
        <v>111</v>
      </c>
      <c r="E57">
        <v>34.5</v>
      </c>
      <c r="F57">
        <f t="shared" si="4"/>
        <v>5.9000000000000004</v>
      </c>
      <c r="G57">
        <f t="shared" si="5"/>
        <v>69.799999999999997</v>
      </c>
      <c r="H57">
        <v>37.5</v>
      </c>
      <c r="I57">
        <f t="shared" si="6"/>
        <v>30.699999999999999</v>
      </c>
      <c r="J57">
        <f t="shared" si="7"/>
        <v>3</v>
      </c>
      <c r="Q57">
        <v>49</v>
      </c>
    </row>
    <row r="58" ht="14.25">
      <c r="A58">
        <v>359292</v>
      </c>
      <c r="B58">
        <v>39.670000000000002</v>
      </c>
      <c r="C58">
        <v>70.75</v>
      </c>
      <c r="D58">
        <v>110</v>
      </c>
      <c r="E58">
        <v>34.799999999999997</v>
      </c>
      <c r="F58">
        <f t="shared" si="4"/>
        <v>6</v>
      </c>
      <c r="G58">
        <f t="shared" si="5"/>
        <v>69.200000000000003</v>
      </c>
      <c r="H58">
        <v>37.5</v>
      </c>
      <c r="I58">
        <f t="shared" si="6"/>
        <v>30.399999999999999</v>
      </c>
      <c r="J58">
        <f t="shared" si="7"/>
        <v>2.7000000000000028</v>
      </c>
      <c r="Q58">
        <v>44.799999999999997</v>
      </c>
    </row>
    <row r="59" ht="14.25">
      <c r="A59">
        <v>365594</v>
      </c>
      <c r="B59">
        <v>35.469999999999999</v>
      </c>
      <c r="C59">
        <v>71.109999999999999</v>
      </c>
      <c r="D59">
        <v>106</v>
      </c>
      <c r="E59">
        <v>35.200000000000003</v>
      </c>
      <c r="F59">
        <f t="shared" si="4"/>
        <v>6.0999999999999996</v>
      </c>
      <c r="G59">
        <f t="shared" si="5"/>
        <v>66.700000000000003</v>
      </c>
      <c r="H59">
        <v>37.5</v>
      </c>
      <c r="I59">
        <f t="shared" si="6"/>
        <v>29.300000000000001</v>
      </c>
      <c r="J59">
        <f t="shared" si="7"/>
        <v>2.2999999999999972</v>
      </c>
      <c r="Q59">
        <v>40.600000000000001</v>
      </c>
    </row>
    <row r="60" ht="14.25">
      <c r="A60">
        <v>371897</v>
      </c>
      <c r="B60">
        <v>33.130000000000003</v>
      </c>
      <c r="C60">
        <v>71.439999999999998</v>
      </c>
      <c r="D60">
        <v>104</v>
      </c>
      <c r="E60">
        <v>35.299999999999997</v>
      </c>
      <c r="F60">
        <f t="shared" si="4"/>
        <v>6.2000000000000002</v>
      </c>
      <c r="G60">
        <f t="shared" si="5"/>
        <v>65.400000000000006</v>
      </c>
      <c r="H60">
        <v>37.5</v>
      </c>
      <c r="I60">
        <f t="shared" si="6"/>
        <v>28.800000000000001</v>
      </c>
      <c r="J60">
        <f t="shared" si="7"/>
        <v>2.2000000000000028</v>
      </c>
      <c r="Q60">
        <v>37.799999999999997</v>
      </c>
    </row>
    <row r="61" ht="14.25">
      <c r="A61">
        <v>378202</v>
      </c>
      <c r="B61">
        <v>30.800000000000001</v>
      </c>
      <c r="C61">
        <v>71.75</v>
      </c>
      <c r="D61">
        <v>102</v>
      </c>
      <c r="E61">
        <v>35.200000000000003</v>
      </c>
      <c r="F61">
        <f t="shared" si="4"/>
        <v>6.2999999999999998</v>
      </c>
      <c r="G61">
        <f t="shared" si="5"/>
        <v>64.200000000000003</v>
      </c>
      <c r="H61">
        <v>37.5</v>
      </c>
      <c r="I61">
        <f t="shared" si="6"/>
        <v>28.199999999999999</v>
      </c>
      <c r="J61">
        <f t="shared" si="7"/>
        <v>2.2999999999999972</v>
      </c>
      <c r="Q61">
        <v>33.600000000000001</v>
      </c>
    </row>
    <row r="62" ht="14.25">
      <c r="A62">
        <v>384504</v>
      </c>
      <c r="B62">
        <v>27.07</v>
      </c>
      <c r="C62">
        <v>72.019999999999996</v>
      </c>
      <c r="D62">
        <v>99</v>
      </c>
      <c r="E62">
        <v>35.600000000000001</v>
      </c>
      <c r="F62">
        <f t="shared" si="4"/>
        <v>6.4000000000000004</v>
      </c>
      <c r="G62">
        <f t="shared" si="5"/>
        <v>62.299999999999997</v>
      </c>
      <c r="H62">
        <v>37.5</v>
      </c>
      <c r="I62">
        <f t="shared" si="6"/>
        <v>27.399999999999999</v>
      </c>
      <c r="J62">
        <f t="shared" si="7"/>
        <v>1.8999999999999986</v>
      </c>
      <c r="Q62">
        <v>28</v>
      </c>
    </row>
    <row r="63" ht="14.25">
      <c r="A63">
        <v>390806</v>
      </c>
      <c r="B63">
        <v>25.670000000000002</v>
      </c>
      <c r="C63">
        <v>72.269999999999996</v>
      </c>
      <c r="D63">
        <v>97</v>
      </c>
      <c r="E63">
        <v>35.600000000000001</v>
      </c>
      <c r="F63">
        <f t="shared" si="4"/>
        <v>6.5</v>
      </c>
      <c r="G63">
        <f t="shared" si="5"/>
        <v>61</v>
      </c>
      <c r="H63">
        <v>37.5</v>
      </c>
      <c r="I63">
        <f t="shared" si="6"/>
        <v>26.800000000000001</v>
      </c>
      <c r="J63">
        <f t="shared" si="7"/>
        <v>1.8999999999999986</v>
      </c>
      <c r="Q63">
        <v>25.199999999999999</v>
      </c>
    </row>
    <row r="64" ht="14.25">
      <c r="A64">
        <v>397110</v>
      </c>
      <c r="B64">
        <v>21.93</v>
      </c>
      <c r="C64">
        <v>72.489999999999995</v>
      </c>
      <c r="D64">
        <v>94</v>
      </c>
      <c r="E64">
        <v>35.899999999999999</v>
      </c>
      <c r="F64">
        <f t="shared" si="4"/>
        <v>6.5999999999999996</v>
      </c>
      <c r="G64">
        <f t="shared" si="5"/>
        <v>59.100000000000001</v>
      </c>
      <c r="H64">
        <v>37.5</v>
      </c>
      <c r="I64">
        <f t="shared" si="6"/>
        <v>26</v>
      </c>
      <c r="J64">
        <f t="shared" si="7"/>
        <v>1.6000000000000014</v>
      </c>
      <c r="Q64">
        <v>22.399999999999999</v>
      </c>
    </row>
    <row r="65" ht="14.25">
      <c r="A65">
        <v>403414</v>
      </c>
      <c r="B65">
        <v>18.199999999999999</v>
      </c>
      <c r="C65">
        <v>72.670000000000002</v>
      </c>
      <c r="D65">
        <v>90</v>
      </c>
      <c r="E65">
        <v>36.200000000000003</v>
      </c>
      <c r="F65">
        <f t="shared" si="4"/>
        <v>6.7000000000000002</v>
      </c>
      <c r="G65">
        <f t="shared" si="5"/>
        <v>56.600000000000001</v>
      </c>
      <c r="H65">
        <v>37.5</v>
      </c>
      <c r="I65">
        <f t="shared" si="6"/>
        <v>24.899999999999999</v>
      </c>
      <c r="J65">
        <f t="shared" si="7"/>
        <v>1.2999999999999972</v>
      </c>
      <c r="Q65">
        <v>21</v>
      </c>
    </row>
    <row r="66" ht="14.25">
      <c r="A66">
        <v>409716</v>
      </c>
      <c r="B66">
        <v>16.800000000000001</v>
      </c>
      <c r="C66">
        <v>72.840000000000003</v>
      </c>
      <c r="D66">
        <v>89</v>
      </c>
      <c r="E66">
        <v>36.399999999999999</v>
      </c>
      <c r="F66">
        <f t="shared" si="4"/>
        <v>6.7999999999999998</v>
      </c>
      <c r="G66">
        <f t="shared" si="5"/>
        <v>56</v>
      </c>
      <c r="H66">
        <v>37.5</v>
      </c>
      <c r="I66">
        <f t="shared" si="6"/>
        <v>24.600000000000001</v>
      </c>
      <c r="J66">
        <f t="shared" si="7"/>
        <v>1.1000000000000014</v>
      </c>
      <c r="Q66">
        <v>18.199999999999999</v>
      </c>
    </row>
    <row r="67" ht="14.25">
      <c r="A67">
        <v>416019</v>
      </c>
      <c r="B67">
        <v>13.529999999999999</v>
      </c>
      <c r="C67">
        <v>72.980000000000004</v>
      </c>
      <c r="D67">
        <v>86</v>
      </c>
      <c r="E67">
        <v>36.5</v>
      </c>
      <c r="F67">
        <f t="shared" si="4"/>
        <v>6.9000000000000004</v>
      </c>
      <c r="G67">
        <f t="shared" si="5"/>
        <v>54.100000000000001</v>
      </c>
      <c r="H67">
        <v>37.5</v>
      </c>
      <c r="I67">
        <f t="shared" si="6"/>
        <v>23.800000000000001</v>
      </c>
      <c r="J67">
        <f t="shared" si="7"/>
        <v>1</v>
      </c>
      <c r="Q67">
        <v>15.4</v>
      </c>
    </row>
    <row r="68" ht="14.25">
      <c r="A68">
        <v>422324</v>
      </c>
      <c r="B68">
        <v>14</v>
      </c>
      <c r="C68">
        <v>73.120000000000005</v>
      </c>
      <c r="D68">
        <v>87</v>
      </c>
      <c r="E68">
        <v>36.600000000000001</v>
      </c>
      <c r="F68">
        <f t="shared" si="4"/>
        <v>7</v>
      </c>
      <c r="G68">
        <f t="shared" si="5"/>
        <v>54.700000000000003</v>
      </c>
      <c r="H68">
        <v>37.5</v>
      </c>
      <c r="I68">
        <f t="shared" si="6"/>
        <v>24.100000000000001</v>
      </c>
      <c r="J68">
        <f t="shared" si="7"/>
        <v>0.89999999999999858</v>
      </c>
      <c r="Q68">
        <v>11.199999999999999</v>
      </c>
    </row>
    <row r="69" ht="14.25">
      <c r="A69">
        <v>428627</v>
      </c>
      <c r="B69">
        <v>8.8699999999999992</v>
      </c>
      <c r="C69">
        <v>73.209999999999994</v>
      </c>
      <c r="D69">
        <v>82</v>
      </c>
      <c r="E69">
        <v>36.899999999999999</v>
      </c>
      <c r="F69">
        <f t="shared" si="4"/>
        <v>7.0999999999999996</v>
      </c>
      <c r="G69">
        <f t="shared" si="5"/>
        <v>51.600000000000001</v>
      </c>
      <c r="H69">
        <v>37.5</v>
      </c>
      <c r="I69">
        <f t="shared" si="6"/>
        <v>22.699999999999999</v>
      </c>
      <c r="J69">
        <f t="shared" si="7"/>
        <v>0.60000000000000142</v>
      </c>
      <c r="Q69">
        <v>9.8000000000000007</v>
      </c>
    </row>
    <row r="70" ht="14.25">
      <c r="A70">
        <v>434931</v>
      </c>
      <c r="B70">
        <v>8.8699999999999992</v>
      </c>
      <c r="C70">
        <v>73.290000000000006</v>
      </c>
      <c r="D70">
        <v>82</v>
      </c>
      <c r="E70">
        <v>36.799999999999997</v>
      </c>
      <c r="F70">
        <f t="shared" si="4"/>
        <v>7.2000000000000002</v>
      </c>
      <c r="G70">
        <f t="shared" si="5"/>
        <v>51.600000000000001</v>
      </c>
      <c r="H70">
        <v>37.5</v>
      </c>
      <c r="I70">
        <f t="shared" si="6"/>
        <v>22.699999999999999</v>
      </c>
      <c r="J70">
        <f t="shared" si="7"/>
        <v>0.70000000000000284</v>
      </c>
      <c r="Q70">
        <v>5.5999999999999996</v>
      </c>
    </row>
    <row r="71" ht="14.25">
      <c r="A71">
        <v>441234</v>
      </c>
      <c r="B71">
        <v>4.6699999999999999</v>
      </c>
      <c r="C71">
        <v>73.340000000000003</v>
      </c>
      <c r="D71">
        <v>78</v>
      </c>
      <c r="E71">
        <v>37.200000000000003</v>
      </c>
      <c r="F71">
        <f t="shared" si="4"/>
        <v>7.4000000000000004</v>
      </c>
      <c r="G71">
        <f t="shared" si="5"/>
        <v>49.100000000000001</v>
      </c>
      <c r="H71">
        <v>37.5</v>
      </c>
      <c r="I71">
        <f t="shared" si="6"/>
        <v>21.600000000000001</v>
      </c>
      <c r="J71">
        <f t="shared" si="7"/>
        <v>0.29999999999999716</v>
      </c>
      <c r="Q71">
        <v>1.3999999999999999</v>
      </c>
    </row>
    <row r="72" ht="14.25">
      <c r="A72">
        <v>447538</v>
      </c>
      <c r="B72">
        <v>3.27</v>
      </c>
      <c r="C72">
        <v>73.370000000000005</v>
      </c>
      <c r="D72">
        <v>76</v>
      </c>
      <c r="E72">
        <v>37.299999999999997</v>
      </c>
      <c r="F72">
        <f t="shared" si="4"/>
        <v>7.5</v>
      </c>
      <c r="G72">
        <f t="shared" si="5"/>
        <v>47.799999999999997</v>
      </c>
      <c r="H72">
        <v>37.5</v>
      </c>
      <c r="I72">
        <f t="shared" si="6"/>
        <v>21</v>
      </c>
      <c r="J72">
        <f t="shared" si="7"/>
        <v>0.20000000000000284</v>
      </c>
      <c r="Q72">
        <v>0</v>
      </c>
    </row>
    <row r="73" ht="14.25">
      <c r="A73">
        <v>453840</v>
      </c>
      <c r="B73">
        <v>1.8700000000000001</v>
      </c>
      <c r="C73">
        <v>73.390000000000001</v>
      </c>
      <c r="D73">
        <v>75</v>
      </c>
      <c r="E73">
        <v>37.5</v>
      </c>
      <c r="F73">
        <f t="shared" si="4"/>
        <v>7.5999999999999996</v>
      </c>
      <c r="G73">
        <f t="shared" si="5"/>
        <v>47.200000000000003</v>
      </c>
      <c r="H73">
        <v>37.5</v>
      </c>
      <c r="I73">
        <f t="shared" si="6"/>
        <v>20.800000000000001</v>
      </c>
      <c r="J73">
        <f t="shared" si="7"/>
        <v>0</v>
      </c>
      <c r="Q73">
        <v>-1.3999999999999999</v>
      </c>
    </row>
    <row r="74" ht="14.25">
      <c r="A74">
        <v>460143</v>
      </c>
      <c r="B74">
        <v>-0.93000000000000005</v>
      </c>
      <c r="C74">
        <v>73.379999999999995</v>
      </c>
      <c r="D74">
        <v>72</v>
      </c>
      <c r="E74">
        <v>37.700000000000003</v>
      </c>
      <c r="F74">
        <f t="shared" ref="F74:F99" si="8">ROUND(A74/60000,1)</f>
        <v>7.7000000000000002</v>
      </c>
      <c r="G74">
        <f t="shared" ref="G74:G99" si="9">ROUND((D74/159)*100,1)</f>
        <v>45.299999999999997</v>
      </c>
      <c r="H74">
        <v>37.5</v>
      </c>
      <c r="I74">
        <f t="shared" ref="I74:I99" si="10">ROUND((D74/159)*44,1)</f>
        <v>19.899999999999999</v>
      </c>
      <c r="J74">
        <f t="shared" ref="J74:J99" si="11">37.5-E74</f>
        <v>-0.20000000000000284</v>
      </c>
      <c r="Q74">
        <v>-5.5999999999999996</v>
      </c>
    </row>
    <row r="75" ht="14.25">
      <c r="A75">
        <v>466446</v>
      </c>
      <c r="B75">
        <v>-2.3300000000000001</v>
      </c>
      <c r="C75">
        <v>73.359999999999999</v>
      </c>
      <c r="D75">
        <v>71</v>
      </c>
      <c r="E75">
        <v>37.799999999999997</v>
      </c>
      <c r="F75">
        <f t="shared" si="8"/>
        <v>7.7999999999999998</v>
      </c>
      <c r="G75">
        <f t="shared" si="9"/>
        <v>44.700000000000003</v>
      </c>
      <c r="H75">
        <v>37.5</v>
      </c>
      <c r="I75">
        <f t="shared" si="10"/>
        <v>19.600000000000001</v>
      </c>
      <c r="J75">
        <f t="shared" si="11"/>
        <v>-0.29999999999999716</v>
      </c>
      <c r="Q75">
        <v>-8.4000000000000004</v>
      </c>
    </row>
    <row r="76" ht="14.25">
      <c r="A76">
        <v>472750</v>
      </c>
      <c r="B76">
        <v>-2.7999999999999998</v>
      </c>
      <c r="C76">
        <v>73.329999999999998</v>
      </c>
      <c r="D76">
        <v>70</v>
      </c>
      <c r="E76">
        <v>37.799999999999997</v>
      </c>
      <c r="F76">
        <f t="shared" si="8"/>
        <v>7.9000000000000004</v>
      </c>
      <c r="G76">
        <f t="shared" si="9"/>
        <v>44</v>
      </c>
      <c r="H76">
        <v>37.5</v>
      </c>
      <c r="I76">
        <f t="shared" si="10"/>
        <v>19.399999999999999</v>
      </c>
      <c r="J76">
        <f t="shared" si="11"/>
        <v>-0.29999999999999716</v>
      </c>
      <c r="Q76">
        <v>-9.8000000000000007</v>
      </c>
    </row>
    <row r="77" ht="14.25">
      <c r="A77">
        <v>479052</v>
      </c>
      <c r="B77">
        <v>-5.5999999999999996</v>
      </c>
      <c r="C77">
        <v>73.280000000000001</v>
      </c>
      <c r="D77">
        <v>67</v>
      </c>
      <c r="E77">
        <v>38</v>
      </c>
      <c r="F77">
        <f t="shared" si="8"/>
        <v>8</v>
      </c>
      <c r="G77">
        <f t="shared" si="9"/>
        <v>42.100000000000001</v>
      </c>
      <c r="H77">
        <v>37.5</v>
      </c>
      <c r="I77">
        <f t="shared" si="10"/>
        <v>18.5</v>
      </c>
      <c r="J77">
        <f t="shared" si="11"/>
        <v>-0.5</v>
      </c>
      <c r="Q77">
        <v>-14</v>
      </c>
    </row>
    <row r="78" ht="14.25">
      <c r="A78">
        <v>485355</v>
      </c>
      <c r="B78">
        <v>-4.2000000000000002</v>
      </c>
      <c r="C78">
        <v>73.230000000000004</v>
      </c>
      <c r="D78">
        <v>69</v>
      </c>
      <c r="E78">
        <v>37.799999999999997</v>
      </c>
      <c r="F78">
        <f t="shared" si="8"/>
        <v>8.0999999999999996</v>
      </c>
      <c r="G78">
        <f t="shared" si="9"/>
        <v>43.399999999999999</v>
      </c>
      <c r="H78">
        <v>37.5</v>
      </c>
      <c r="I78">
        <f t="shared" si="10"/>
        <v>19.100000000000001</v>
      </c>
      <c r="J78">
        <f t="shared" si="11"/>
        <v>-0.29999999999999716</v>
      </c>
      <c r="Q78">
        <v>-14</v>
      </c>
    </row>
    <row r="79" ht="14.25">
      <c r="A79">
        <v>491658</v>
      </c>
      <c r="B79">
        <v>-9.3300000000000001</v>
      </c>
      <c r="C79">
        <v>73.140000000000001</v>
      </c>
      <c r="D79">
        <v>63</v>
      </c>
      <c r="E79">
        <v>38.200000000000003</v>
      </c>
      <c r="F79">
        <f t="shared" si="8"/>
        <v>8.1999999999999993</v>
      </c>
      <c r="G79">
        <f t="shared" si="9"/>
        <v>39.600000000000001</v>
      </c>
      <c r="H79">
        <v>37.5</v>
      </c>
      <c r="I79">
        <f t="shared" si="10"/>
        <v>17.399999999999999</v>
      </c>
      <c r="J79">
        <f t="shared" si="11"/>
        <v>-0.70000000000000284</v>
      </c>
      <c r="Q79">
        <v>-14</v>
      </c>
    </row>
    <row r="80" ht="14.25">
      <c r="A80">
        <v>497961</v>
      </c>
      <c r="B80">
        <v>-9.3300000000000001</v>
      </c>
      <c r="C80">
        <v>73.049999999999997</v>
      </c>
      <c r="D80">
        <v>63</v>
      </c>
      <c r="E80">
        <v>38.100000000000001</v>
      </c>
      <c r="F80">
        <f t="shared" si="8"/>
        <v>8.3000000000000007</v>
      </c>
      <c r="G80">
        <f t="shared" si="9"/>
        <v>39.600000000000001</v>
      </c>
      <c r="H80">
        <v>37.5</v>
      </c>
      <c r="I80">
        <f t="shared" si="10"/>
        <v>17.399999999999999</v>
      </c>
      <c r="J80">
        <f t="shared" si="11"/>
        <v>-0.60000000000000142</v>
      </c>
      <c r="Q80">
        <v>-16.800000000000001</v>
      </c>
    </row>
    <row r="81" ht="14.25">
      <c r="A81">
        <v>504265</v>
      </c>
      <c r="B81">
        <v>-10.27</v>
      </c>
      <c r="C81">
        <v>72.939999999999998</v>
      </c>
      <c r="D81">
        <v>62</v>
      </c>
      <c r="E81">
        <v>38.299999999999997</v>
      </c>
      <c r="F81">
        <f t="shared" si="8"/>
        <v>8.4000000000000004</v>
      </c>
      <c r="G81">
        <f t="shared" si="9"/>
        <v>39</v>
      </c>
      <c r="H81">
        <v>37.5</v>
      </c>
      <c r="I81">
        <f t="shared" si="10"/>
        <v>17.199999999999999</v>
      </c>
      <c r="J81">
        <f t="shared" si="11"/>
        <v>-0.79999999999999716</v>
      </c>
      <c r="Q81">
        <v>-19.600000000000001</v>
      </c>
    </row>
    <row r="82" ht="14.25">
      <c r="A82">
        <v>510569</v>
      </c>
      <c r="B82">
        <v>-10.27</v>
      </c>
      <c r="C82">
        <v>72.840000000000003</v>
      </c>
      <c r="D82">
        <v>62</v>
      </c>
      <c r="E82">
        <v>38.200000000000003</v>
      </c>
      <c r="F82">
        <f t="shared" si="8"/>
        <v>8.5</v>
      </c>
      <c r="G82">
        <f t="shared" si="9"/>
        <v>39</v>
      </c>
      <c r="H82">
        <v>37.5</v>
      </c>
      <c r="I82">
        <f t="shared" si="10"/>
        <v>17.199999999999999</v>
      </c>
      <c r="J82">
        <f t="shared" si="11"/>
        <v>-0.70000000000000284</v>
      </c>
      <c r="Q82">
        <v>-22.399999999999999</v>
      </c>
    </row>
    <row r="83" ht="14.25">
      <c r="A83">
        <v>516873</v>
      </c>
      <c r="B83">
        <v>-12.130000000000001</v>
      </c>
      <c r="C83">
        <v>72.719999999999999</v>
      </c>
      <c r="D83">
        <v>60</v>
      </c>
      <c r="E83">
        <v>38.299999999999997</v>
      </c>
      <c r="F83">
        <f t="shared" si="8"/>
        <v>8.5999999999999996</v>
      </c>
      <c r="G83">
        <f t="shared" si="9"/>
        <v>37.700000000000003</v>
      </c>
      <c r="H83">
        <v>37.5</v>
      </c>
      <c r="I83">
        <f t="shared" si="10"/>
        <v>16.600000000000001</v>
      </c>
      <c r="J83">
        <f t="shared" si="11"/>
        <v>-0.79999999999999716</v>
      </c>
      <c r="Q83">
        <v>-21</v>
      </c>
    </row>
    <row r="84" ht="14.25">
      <c r="A84">
        <v>523175</v>
      </c>
      <c r="B84">
        <v>-14</v>
      </c>
      <c r="C84">
        <v>72.579999999999998</v>
      </c>
      <c r="D84">
        <v>58</v>
      </c>
      <c r="E84">
        <v>38.600000000000001</v>
      </c>
      <c r="F84">
        <f t="shared" si="8"/>
        <v>8.6999999999999993</v>
      </c>
      <c r="G84">
        <f t="shared" si="9"/>
        <v>36.5</v>
      </c>
      <c r="H84">
        <v>37.5</v>
      </c>
      <c r="I84">
        <f t="shared" si="10"/>
        <v>16.100000000000001</v>
      </c>
      <c r="J84">
        <f t="shared" si="11"/>
        <v>-1.1000000000000014</v>
      </c>
      <c r="Q84">
        <v>-23.800000000000001</v>
      </c>
    </row>
    <row r="85" ht="14.25">
      <c r="A85">
        <v>529478</v>
      </c>
      <c r="B85">
        <v>-13.07</v>
      </c>
      <c r="C85">
        <v>72.450000000000003</v>
      </c>
      <c r="D85">
        <v>59</v>
      </c>
      <c r="E85">
        <v>38.5</v>
      </c>
      <c r="F85">
        <f t="shared" si="8"/>
        <v>8.8000000000000007</v>
      </c>
      <c r="G85">
        <f t="shared" si="9"/>
        <v>37.100000000000001</v>
      </c>
      <c r="H85">
        <v>37.5</v>
      </c>
      <c r="I85">
        <f t="shared" si="10"/>
        <v>16.300000000000001</v>
      </c>
      <c r="J85">
        <f t="shared" si="11"/>
        <v>-1</v>
      </c>
      <c r="Q85">
        <v>-21</v>
      </c>
    </row>
    <row r="86" ht="14.25">
      <c r="A86">
        <v>535782</v>
      </c>
      <c r="B86">
        <v>-14</v>
      </c>
      <c r="C86">
        <v>72.310000000000002</v>
      </c>
      <c r="D86">
        <v>58</v>
      </c>
      <c r="E86">
        <v>38.5</v>
      </c>
      <c r="F86">
        <f t="shared" si="8"/>
        <v>8.9000000000000004</v>
      </c>
      <c r="G86">
        <f t="shared" si="9"/>
        <v>36.5</v>
      </c>
      <c r="H86">
        <v>37.5</v>
      </c>
      <c r="I86">
        <f t="shared" si="10"/>
        <v>16.100000000000001</v>
      </c>
      <c r="J86">
        <f t="shared" si="11"/>
        <v>-1</v>
      </c>
      <c r="Q86">
        <v>-22.399999999999999</v>
      </c>
    </row>
    <row r="87" ht="14.25">
      <c r="A87">
        <v>542085</v>
      </c>
      <c r="B87">
        <v>-15.4</v>
      </c>
      <c r="C87">
        <v>72.159999999999997</v>
      </c>
      <c r="D87">
        <v>56</v>
      </c>
      <c r="E87">
        <v>38.600000000000001</v>
      </c>
      <c r="F87">
        <f t="shared" si="8"/>
        <v>9</v>
      </c>
      <c r="G87">
        <f t="shared" si="9"/>
        <v>35.200000000000003</v>
      </c>
      <c r="H87">
        <v>37.5</v>
      </c>
      <c r="I87">
        <f t="shared" si="10"/>
        <v>15.5</v>
      </c>
      <c r="J87">
        <f t="shared" si="11"/>
        <v>-1.1000000000000014</v>
      </c>
      <c r="Q87">
        <v>-25.199999999999999</v>
      </c>
    </row>
    <row r="88" ht="14.25">
      <c r="A88">
        <v>548387</v>
      </c>
      <c r="B88">
        <v>-16.329999999999998</v>
      </c>
      <c r="C88">
        <v>71.989999999999995</v>
      </c>
      <c r="D88">
        <v>55</v>
      </c>
      <c r="E88">
        <v>38.700000000000003</v>
      </c>
      <c r="F88">
        <f t="shared" si="8"/>
        <v>9.0999999999999996</v>
      </c>
      <c r="G88">
        <f t="shared" si="9"/>
        <v>34.600000000000001</v>
      </c>
      <c r="H88">
        <v>37.5</v>
      </c>
      <c r="I88">
        <f t="shared" si="10"/>
        <v>15.199999999999999</v>
      </c>
      <c r="J88">
        <f t="shared" si="11"/>
        <v>-1.2000000000000028</v>
      </c>
      <c r="Q88">
        <v>-25.199999999999999</v>
      </c>
    </row>
    <row r="89" ht="14.25">
      <c r="A89">
        <v>554691</v>
      </c>
      <c r="B89">
        <v>-15.869999999999999</v>
      </c>
      <c r="C89">
        <v>71.829999999999998</v>
      </c>
      <c r="D89">
        <v>55</v>
      </c>
      <c r="E89">
        <v>38.700000000000003</v>
      </c>
      <c r="F89">
        <f t="shared" si="8"/>
        <v>9.1999999999999993</v>
      </c>
      <c r="G89">
        <f t="shared" si="9"/>
        <v>34.600000000000001</v>
      </c>
      <c r="H89">
        <v>37.5</v>
      </c>
      <c r="I89">
        <f t="shared" si="10"/>
        <v>15.199999999999999</v>
      </c>
      <c r="J89">
        <f t="shared" si="11"/>
        <v>-1.2000000000000028</v>
      </c>
      <c r="Q89">
        <v>-26.600000000000001</v>
      </c>
    </row>
    <row r="90" ht="14.25">
      <c r="A90">
        <v>560993</v>
      </c>
      <c r="B90">
        <v>-17.73</v>
      </c>
      <c r="C90">
        <v>71.659999999999997</v>
      </c>
      <c r="D90">
        <v>53</v>
      </c>
      <c r="E90">
        <v>38.799999999999997</v>
      </c>
      <c r="F90">
        <f t="shared" si="8"/>
        <v>9.3000000000000007</v>
      </c>
      <c r="G90">
        <f t="shared" si="9"/>
        <v>33.299999999999997</v>
      </c>
      <c r="H90">
        <v>37.5</v>
      </c>
      <c r="I90">
        <f t="shared" si="10"/>
        <v>14.699999999999999</v>
      </c>
      <c r="J90">
        <f t="shared" si="11"/>
        <v>-1.2999999999999972</v>
      </c>
      <c r="Q90">
        <v>-29.399999999999999</v>
      </c>
    </row>
    <row r="91" ht="14.25">
      <c r="A91">
        <v>567297</v>
      </c>
      <c r="B91">
        <v>-18.670000000000002</v>
      </c>
      <c r="C91">
        <v>71.469999999999999</v>
      </c>
      <c r="D91">
        <v>52</v>
      </c>
      <c r="E91">
        <v>38.799999999999997</v>
      </c>
      <c r="F91">
        <f t="shared" si="8"/>
        <v>9.5</v>
      </c>
      <c r="G91">
        <f t="shared" si="9"/>
        <v>32.700000000000003</v>
      </c>
      <c r="H91">
        <v>37.5</v>
      </c>
      <c r="I91">
        <f t="shared" si="10"/>
        <v>14.4</v>
      </c>
      <c r="J91">
        <f t="shared" si="11"/>
        <v>-1.2999999999999972</v>
      </c>
      <c r="Q91">
        <v>-30.800000000000001</v>
      </c>
    </row>
    <row r="92" ht="14.25">
      <c r="A92">
        <v>573599</v>
      </c>
      <c r="B92">
        <v>-19.129999999999999</v>
      </c>
      <c r="C92">
        <v>71.280000000000001</v>
      </c>
      <c r="D92">
        <v>52</v>
      </c>
      <c r="E92">
        <v>39</v>
      </c>
      <c r="F92">
        <f t="shared" si="8"/>
        <v>9.5999999999999996</v>
      </c>
      <c r="G92">
        <f t="shared" si="9"/>
        <v>32.700000000000003</v>
      </c>
      <c r="H92">
        <v>37.5</v>
      </c>
      <c r="I92">
        <f t="shared" si="10"/>
        <v>14.4</v>
      </c>
      <c r="J92">
        <f t="shared" si="11"/>
        <v>-1.5</v>
      </c>
      <c r="Q92">
        <v>-29.399999999999999</v>
      </c>
    </row>
    <row r="93" ht="14.25">
      <c r="A93">
        <v>579902</v>
      </c>
      <c r="B93">
        <v>-18.199999999999999</v>
      </c>
      <c r="C93">
        <v>71.099999999999994</v>
      </c>
      <c r="D93">
        <v>52</v>
      </c>
      <c r="E93">
        <v>38.899999999999999</v>
      </c>
      <c r="F93">
        <f t="shared" si="8"/>
        <v>9.6999999999999993</v>
      </c>
      <c r="G93">
        <f t="shared" si="9"/>
        <v>32.700000000000003</v>
      </c>
      <c r="H93">
        <v>37.5</v>
      </c>
      <c r="I93">
        <f t="shared" si="10"/>
        <v>14.4</v>
      </c>
      <c r="J93">
        <f t="shared" si="11"/>
        <v>-1.3999999999999986</v>
      </c>
      <c r="Q93">
        <v>-29.399999999999999</v>
      </c>
    </row>
    <row r="94" ht="14.25">
      <c r="A94">
        <v>586206</v>
      </c>
      <c r="B94">
        <v>-16.329999999999998</v>
      </c>
      <c r="C94">
        <v>70.930000000000007</v>
      </c>
      <c r="D94">
        <v>54</v>
      </c>
      <c r="E94">
        <v>38.600000000000001</v>
      </c>
      <c r="F94">
        <f t="shared" si="8"/>
        <v>9.8000000000000007</v>
      </c>
      <c r="G94">
        <f t="shared" si="9"/>
        <v>34</v>
      </c>
      <c r="H94">
        <v>37.5</v>
      </c>
      <c r="I94">
        <f t="shared" si="10"/>
        <v>14.9</v>
      </c>
      <c r="J94">
        <f t="shared" si="11"/>
        <v>-1.1000000000000014</v>
      </c>
      <c r="Q94">
        <v>-30.800000000000001</v>
      </c>
    </row>
    <row r="95" ht="14.25">
      <c r="A95">
        <v>592510</v>
      </c>
      <c r="B95">
        <v>-17.73</v>
      </c>
      <c r="C95">
        <v>70.760000000000005</v>
      </c>
      <c r="D95">
        <v>53</v>
      </c>
      <c r="E95">
        <v>38.700000000000003</v>
      </c>
      <c r="F95">
        <f t="shared" si="8"/>
        <v>9.9000000000000004</v>
      </c>
      <c r="G95">
        <f t="shared" si="9"/>
        <v>33.299999999999997</v>
      </c>
      <c r="H95">
        <v>37.5</v>
      </c>
      <c r="I95">
        <f t="shared" si="10"/>
        <v>14.699999999999999</v>
      </c>
      <c r="J95">
        <f t="shared" si="11"/>
        <v>-1.2000000000000028</v>
      </c>
      <c r="Q95">
        <v>-30.800000000000001</v>
      </c>
    </row>
    <row r="96" ht="14.25">
      <c r="A96">
        <v>598813</v>
      </c>
      <c r="B96">
        <v>-19.600000000000001</v>
      </c>
      <c r="C96">
        <v>70.560000000000002</v>
      </c>
      <c r="D96">
        <v>50</v>
      </c>
      <c r="E96">
        <v>38.799999999999997</v>
      </c>
      <c r="F96">
        <f t="shared" si="8"/>
        <v>10</v>
      </c>
      <c r="G96">
        <f t="shared" si="9"/>
        <v>31.399999999999999</v>
      </c>
      <c r="H96">
        <v>37.5</v>
      </c>
      <c r="I96">
        <f t="shared" si="10"/>
        <v>13.800000000000001</v>
      </c>
      <c r="J96">
        <f t="shared" si="11"/>
        <v>-1.2999999999999972</v>
      </c>
      <c r="Q96">
        <v>-30.800000000000001</v>
      </c>
    </row>
    <row r="97" ht="14.25">
      <c r="A97">
        <v>605118</v>
      </c>
      <c r="B97">
        <v>-20.530000000000001</v>
      </c>
      <c r="C97">
        <v>70.349999999999994</v>
      </c>
      <c r="D97">
        <v>49</v>
      </c>
      <c r="E97">
        <v>39.100000000000001</v>
      </c>
      <c r="F97">
        <f t="shared" si="8"/>
        <v>10.1</v>
      </c>
      <c r="G97">
        <f t="shared" si="9"/>
        <v>30.800000000000001</v>
      </c>
      <c r="H97">
        <v>37.5</v>
      </c>
      <c r="I97">
        <f t="shared" si="10"/>
        <v>13.6</v>
      </c>
      <c r="J97">
        <f t="shared" si="11"/>
        <v>-1.6000000000000014</v>
      </c>
      <c r="Q97">
        <v>-32.200000000000003</v>
      </c>
    </row>
    <row r="98" ht="14.25">
      <c r="A98">
        <v>611421</v>
      </c>
      <c r="B98">
        <v>-19.600000000000001</v>
      </c>
      <c r="C98">
        <v>70.159999999999997</v>
      </c>
      <c r="D98">
        <v>50</v>
      </c>
      <c r="E98">
        <v>38.799999999999997</v>
      </c>
      <c r="F98">
        <f t="shared" si="8"/>
        <v>10.199999999999999</v>
      </c>
      <c r="G98">
        <f t="shared" si="9"/>
        <v>31.399999999999999</v>
      </c>
      <c r="H98">
        <v>37.5</v>
      </c>
      <c r="I98">
        <f t="shared" si="10"/>
        <v>13.800000000000001</v>
      </c>
      <c r="J98">
        <f t="shared" si="11"/>
        <v>-1.2999999999999972</v>
      </c>
      <c r="Q98">
        <v>-30.800000000000001</v>
      </c>
    </row>
    <row r="99" ht="14.25">
      <c r="A99">
        <v>617724</v>
      </c>
      <c r="B99">
        <v>-21</v>
      </c>
      <c r="C99">
        <v>69.950000000000003</v>
      </c>
      <c r="D99">
        <v>48</v>
      </c>
      <c r="E99">
        <v>39</v>
      </c>
      <c r="F99">
        <f t="shared" si="8"/>
        <v>10.300000000000001</v>
      </c>
      <c r="G99">
        <f t="shared" si="9"/>
        <v>30.199999999999999</v>
      </c>
      <c r="H99">
        <v>37.5</v>
      </c>
      <c r="I99">
        <f t="shared" si="10"/>
        <v>13.300000000000001</v>
      </c>
      <c r="J99">
        <f t="shared" si="11"/>
        <v>-1.5</v>
      </c>
      <c r="Q99">
        <v>-32.200000000000003</v>
      </c>
    </row>
    <row r="100" ht="14.25">
      <c r="A100">
        <v>624027</v>
      </c>
      <c r="B100">
        <v>-19.600000000000001</v>
      </c>
      <c r="C100">
        <v>69.75</v>
      </c>
      <c r="D100">
        <v>50</v>
      </c>
      <c r="E100">
        <v>38.700000000000003</v>
      </c>
      <c r="F100">
        <f t="shared" ref="F100:F163" si="12">ROUND(A100/60000,1)</f>
        <v>10.4</v>
      </c>
      <c r="G100">
        <f t="shared" ref="G100:G163" si="13">ROUND((D100/159)*100,1)</f>
        <v>31.399999999999999</v>
      </c>
      <c r="H100">
        <v>37.5</v>
      </c>
      <c r="I100">
        <f t="shared" ref="I100:I163" si="14">ROUND((D100/159)*44,1)</f>
        <v>13.800000000000001</v>
      </c>
      <c r="J100">
        <f t="shared" ref="J100:J163" si="15">37.5-E100</f>
        <v>-1.2000000000000028</v>
      </c>
      <c r="Q100">
        <v>-33.600000000000001</v>
      </c>
    </row>
    <row r="101" ht="14.25">
      <c r="A101">
        <v>630330</v>
      </c>
      <c r="B101">
        <v>-18.199999999999999</v>
      </c>
      <c r="C101">
        <v>69.569999999999993</v>
      </c>
      <c r="D101">
        <v>51</v>
      </c>
      <c r="E101">
        <v>38.600000000000001</v>
      </c>
      <c r="F101">
        <f t="shared" si="12"/>
        <v>10.5</v>
      </c>
      <c r="G101">
        <f t="shared" si="13"/>
        <v>32.100000000000001</v>
      </c>
      <c r="H101">
        <v>37.5</v>
      </c>
      <c r="I101">
        <f t="shared" si="14"/>
        <v>14.1</v>
      </c>
      <c r="J101">
        <f t="shared" si="15"/>
        <v>-1.1000000000000014</v>
      </c>
      <c r="Q101">
        <v>-30.800000000000001</v>
      </c>
    </row>
    <row r="102" ht="14.25">
      <c r="A102">
        <v>636634</v>
      </c>
      <c r="B102">
        <v>-18.199999999999999</v>
      </c>
      <c r="C102">
        <v>69.390000000000001</v>
      </c>
      <c r="D102">
        <v>51</v>
      </c>
      <c r="E102">
        <v>38.700000000000003</v>
      </c>
      <c r="F102">
        <f t="shared" si="12"/>
        <v>10.6</v>
      </c>
      <c r="G102">
        <f t="shared" si="13"/>
        <v>32.100000000000001</v>
      </c>
      <c r="H102">
        <v>37.5</v>
      </c>
      <c r="I102">
        <f t="shared" si="14"/>
        <v>14.1</v>
      </c>
      <c r="J102">
        <f t="shared" si="15"/>
        <v>-1.2000000000000028</v>
      </c>
      <c r="Q102">
        <v>-29.399999999999999</v>
      </c>
    </row>
    <row r="103" ht="14.25">
      <c r="A103">
        <v>642935</v>
      </c>
      <c r="B103">
        <v>-17.73</v>
      </c>
      <c r="C103">
        <v>69.209999999999994</v>
      </c>
      <c r="D103">
        <v>51</v>
      </c>
      <c r="E103">
        <v>38.600000000000001</v>
      </c>
      <c r="F103">
        <f t="shared" si="12"/>
        <v>10.699999999999999</v>
      </c>
      <c r="G103">
        <f t="shared" si="13"/>
        <v>32.100000000000001</v>
      </c>
      <c r="H103">
        <v>37.5</v>
      </c>
      <c r="I103">
        <f t="shared" si="14"/>
        <v>14.1</v>
      </c>
      <c r="J103">
        <f t="shared" si="15"/>
        <v>-1.1000000000000014</v>
      </c>
      <c r="Q103">
        <v>-30.800000000000001</v>
      </c>
    </row>
    <row r="104" ht="14.25">
      <c r="A104">
        <v>649238</v>
      </c>
      <c r="B104">
        <v>-19.600000000000001</v>
      </c>
      <c r="C104">
        <v>69.019999999999996</v>
      </c>
      <c r="D104">
        <v>49</v>
      </c>
      <c r="E104">
        <v>39</v>
      </c>
      <c r="F104">
        <f t="shared" si="12"/>
        <v>10.800000000000001</v>
      </c>
      <c r="G104">
        <f t="shared" si="13"/>
        <v>30.800000000000001</v>
      </c>
      <c r="H104">
        <v>37.5</v>
      </c>
      <c r="I104">
        <f t="shared" si="14"/>
        <v>13.6</v>
      </c>
      <c r="J104">
        <f t="shared" si="15"/>
        <v>-1.5</v>
      </c>
      <c r="Q104">
        <v>-29.399999999999999</v>
      </c>
    </row>
    <row r="105" ht="14.25">
      <c r="A105">
        <v>655542</v>
      </c>
      <c r="B105">
        <v>-17.73</v>
      </c>
      <c r="C105">
        <v>68.840000000000003</v>
      </c>
      <c r="D105">
        <v>51</v>
      </c>
      <c r="E105">
        <v>38.700000000000003</v>
      </c>
      <c r="F105">
        <f t="shared" si="12"/>
        <v>10.9</v>
      </c>
      <c r="G105">
        <f t="shared" si="13"/>
        <v>32.100000000000001</v>
      </c>
      <c r="H105">
        <v>37.5</v>
      </c>
      <c r="I105">
        <f t="shared" si="14"/>
        <v>14.1</v>
      </c>
      <c r="J105">
        <f t="shared" si="15"/>
        <v>-1.2000000000000028</v>
      </c>
      <c r="Q105">
        <v>-29.399999999999999</v>
      </c>
    </row>
    <row r="106" ht="14.25">
      <c r="A106">
        <v>661844</v>
      </c>
      <c r="B106">
        <v>-20.07</v>
      </c>
      <c r="C106">
        <v>68.640000000000001</v>
      </c>
      <c r="D106">
        <v>48</v>
      </c>
      <c r="E106">
        <v>39</v>
      </c>
      <c r="F106">
        <f t="shared" si="12"/>
        <v>11</v>
      </c>
      <c r="G106">
        <f t="shared" si="13"/>
        <v>30.199999999999999</v>
      </c>
      <c r="H106">
        <v>37.5</v>
      </c>
      <c r="I106">
        <f t="shared" si="14"/>
        <v>13.300000000000001</v>
      </c>
      <c r="J106">
        <f t="shared" si="15"/>
        <v>-1.5</v>
      </c>
      <c r="Q106">
        <v>-30.800000000000001</v>
      </c>
    </row>
    <row r="107" ht="14.25">
      <c r="A107">
        <v>668148</v>
      </c>
      <c r="B107">
        <v>-16.800000000000001</v>
      </c>
      <c r="C107">
        <v>68.469999999999999</v>
      </c>
      <c r="D107">
        <v>51</v>
      </c>
      <c r="E107">
        <v>38.799999999999997</v>
      </c>
      <c r="F107">
        <f t="shared" si="12"/>
        <v>11.1</v>
      </c>
      <c r="G107">
        <f t="shared" si="13"/>
        <v>32.100000000000001</v>
      </c>
      <c r="H107">
        <v>37.5</v>
      </c>
      <c r="I107">
        <f t="shared" si="14"/>
        <v>14.1</v>
      </c>
      <c r="J107">
        <f t="shared" si="15"/>
        <v>-1.2999999999999972</v>
      </c>
      <c r="Q107">
        <v>-28</v>
      </c>
    </row>
    <row r="108" ht="14.25">
      <c r="A108">
        <v>674452</v>
      </c>
      <c r="B108">
        <v>-16.800000000000001</v>
      </c>
      <c r="C108">
        <v>68.299999999999997</v>
      </c>
      <c r="D108">
        <v>51</v>
      </c>
      <c r="E108">
        <v>38.600000000000001</v>
      </c>
      <c r="F108">
        <f t="shared" si="12"/>
        <v>11.199999999999999</v>
      </c>
      <c r="G108">
        <f t="shared" si="13"/>
        <v>32.100000000000001</v>
      </c>
      <c r="H108">
        <v>37.5</v>
      </c>
      <c r="I108">
        <f t="shared" si="14"/>
        <v>14.1</v>
      </c>
      <c r="J108">
        <f t="shared" si="15"/>
        <v>-1.1000000000000014</v>
      </c>
      <c r="Q108">
        <v>-28</v>
      </c>
    </row>
    <row r="109" ht="14.25">
      <c r="A109">
        <v>680756</v>
      </c>
      <c r="B109">
        <v>-16.800000000000001</v>
      </c>
      <c r="C109">
        <v>68.129999999999995</v>
      </c>
      <c r="D109">
        <v>51</v>
      </c>
      <c r="E109">
        <v>38.700000000000003</v>
      </c>
      <c r="F109">
        <f t="shared" si="12"/>
        <v>11.300000000000001</v>
      </c>
      <c r="G109">
        <f t="shared" si="13"/>
        <v>32.100000000000001</v>
      </c>
      <c r="H109">
        <v>37.5</v>
      </c>
      <c r="I109">
        <f t="shared" si="14"/>
        <v>14.1</v>
      </c>
      <c r="J109">
        <f t="shared" si="15"/>
        <v>-1.2000000000000028</v>
      </c>
      <c r="Q109">
        <v>-26.600000000000001</v>
      </c>
    </row>
    <row r="110" ht="14.25">
      <c r="A110">
        <v>687059</v>
      </c>
      <c r="B110">
        <v>-17.27</v>
      </c>
      <c r="C110">
        <v>67.959999999999994</v>
      </c>
      <c r="D110">
        <v>50</v>
      </c>
      <c r="E110">
        <v>38.700000000000003</v>
      </c>
      <c r="F110">
        <f t="shared" si="12"/>
        <v>11.5</v>
      </c>
      <c r="G110">
        <f t="shared" si="13"/>
        <v>31.399999999999999</v>
      </c>
      <c r="H110">
        <v>37.5</v>
      </c>
      <c r="I110">
        <f t="shared" si="14"/>
        <v>13.800000000000001</v>
      </c>
      <c r="J110">
        <f t="shared" si="15"/>
        <v>-1.2000000000000028</v>
      </c>
      <c r="Q110">
        <v>-25.199999999999999</v>
      </c>
    </row>
    <row r="111" ht="14.25">
      <c r="A111">
        <v>693363</v>
      </c>
      <c r="B111">
        <v>-15.4</v>
      </c>
      <c r="C111">
        <v>67.810000000000002</v>
      </c>
      <c r="D111">
        <v>52</v>
      </c>
      <c r="E111">
        <v>38.600000000000001</v>
      </c>
      <c r="F111">
        <f t="shared" si="12"/>
        <v>11.6</v>
      </c>
      <c r="G111">
        <f t="shared" si="13"/>
        <v>32.700000000000003</v>
      </c>
      <c r="H111">
        <v>37.5</v>
      </c>
      <c r="I111">
        <f t="shared" si="14"/>
        <v>14.4</v>
      </c>
      <c r="J111">
        <f t="shared" si="15"/>
        <v>-1.1000000000000014</v>
      </c>
      <c r="Q111">
        <v>-28</v>
      </c>
    </row>
    <row r="112" ht="14.25">
      <c r="A112">
        <v>699666</v>
      </c>
      <c r="B112">
        <v>-15.4</v>
      </c>
      <c r="C112">
        <v>67.650000000000006</v>
      </c>
      <c r="D112">
        <v>52</v>
      </c>
      <c r="E112">
        <v>38.5</v>
      </c>
      <c r="F112">
        <f t="shared" si="12"/>
        <v>11.699999999999999</v>
      </c>
      <c r="G112">
        <f t="shared" si="13"/>
        <v>32.700000000000003</v>
      </c>
      <c r="H112">
        <v>37.5</v>
      </c>
      <c r="I112">
        <f t="shared" si="14"/>
        <v>14.4</v>
      </c>
      <c r="J112">
        <f t="shared" si="15"/>
        <v>-1</v>
      </c>
      <c r="Q112">
        <v>-25.199999999999999</v>
      </c>
    </row>
    <row r="113" ht="14.25">
      <c r="A113">
        <v>705970</v>
      </c>
      <c r="B113">
        <v>-14.93</v>
      </c>
      <c r="C113">
        <v>67.5</v>
      </c>
      <c r="D113">
        <v>52</v>
      </c>
      <c r="E113">
        <v>38.600000000000001</v>
      </c>
      <c r="F113">
        <f t="shared" si="12"/>
        <v>11.800000000000001</v>
      </c>
      <c r="G113">
        <f t="shared" si="13"/>
        <v>32.700000000000003</v>
      </c>
      <c r="H113">
        <v>37.5</v>
      </c>
      <c r="I113">
        <f t="shared" si="14"/>
        <v>14.4</v>
      </c>
      <c r="J113">
        <f t="shared" si="15"/>
        <v>-1.1000000000000014</v>
      </c>
      <c r="Q113">
        <v>-23.800000000000001</v>
      </c>
    </row>
    <row r="114" ht="14.25">
      <c r="A114">
        <v>712272</v>
      </c>
      <c r="B114">
        <v>-14.470000000000001</v>
      </c>
      <c r="C114">
        <v>67.359999999999999</v>
      </c>
      <c r="D114">
        <v>52</v>
      </c>
      <c r="E114">
        <v>38.299999999999997</v>
      </c>
      <c r="F114">
        <f t="shared" si="12"/>
        <v>11.9</v>
      </c>
      <c r="G114">
        <f t="shared" si="13"/>
        <v>32.700000000000003</v>
      </c>
      <c r="H114">
        <v>37.5</v>
      </c>
      <c r="I114">
        <f t="shared" si="14"/>
        <v>14.4</v>
      </c>
      <c r="J114">
        <f t="shared" si="15"/>
        <v>-0.79999999999999716</v>
      </c>
      <c r="Q114">
        <v>-21</v>
      </c>
    </row>
    <row r="115" ht="14.25">
      <c r="A115">
        <v>718575</v>
      </c>
      <c r="B115">
        <v>-14</v>
      </c>
      <c r="C115">
        <v>67.219999999999999</v>
      </c>
      <c r="D115">
        <v>53</v>
      </c>
      <c r="E115">
        <v>38.5</v>
      </c>
      <c r="F115">
        <f t="shared" si="12"/>
        <v>12</v>
      </c>
      <c r="G115">
        <f t="shared" si="13"/>
        <v>33.299999999999997</v>
      </c>
      <c r="H115">
        <v>37.5</v>
      </c>
      <c r="I115">
        <f t="shared" si="14"/>
        <v>14.699999999999999</v>
      </c>
      <c r="J115">
        <f t="shared" si="15"/>
        <v>-1</v>
      </c>
      <c r="Q115">
        <v>-25.199999999999999</v>
      </c>
    </row>
    <row r="116" ht="14.25">
      <c r="A116">
        <v>724878</v>
      </c>
      <c r="B116">
        <v>-14</v>
      </c>
      <c r="C116">
        <v>67.079999999999998</v>
      </c>
      <c r="D116">
        <v>53</v>
      </c>
      <c r="E116">
        <v>38.399999999999999</v>
      </c>
      <c r="F116">
        <f t="shared" si="12"/>
        <v>12.1</v>
      </c>
      <c r="G116">
        <f t="shared" si="13"/>
        <v>33.299999999999997</v>
      </c>
      <c r="H116">
        <v>37.5</v>
      </c>
      <c r="I116">
        <f t="shared" si="14"/>
        <v>14.699999999999999</v>
      </c>
      <c r="J116">
        <f t="shared" si="15"/>
        <v>-0.89999999999999858</v>
      </c>
      <c r="Q116">
        <v>-23.800000000000001</v>
      </c>
    </row>
    <row r="117" ht="14.25">
      <c r="A117">
        <v>731182</v>
      </c>
      <c r="B117">
        <v>-10.73</v>
      </c>
      <c r="C117">
        <v>66.969999999999999</v>
      </c>
      <c r="D117">
        <v>56</v>
      </c>
      <c r="E117">
        <v>38.399999999999999</v>
      </c>
      <c r="F117">
        <f t="shared" si="12"/>
        <v>12.199999999999999</v>
      </c>
      <c r="G117">
        <f t="shared" si="13"/>
        <v>35.200000000000003</v>
      </c>
      <c r="H117">
        <v>37.5</v>
      </c>
      <c r="I117">
        <f t="shared" si="14"/>
        <v>15.5</v>
      </c>
      <c r="J117">
        <f t="shared" si="15"/>
        <v>-0.89999999999999858</v>
      </c>
      <c r="Q117">
        <v>-22.399999999999999</v>
      </c>
    </row>
    <row r="118" ht="14.25">
      <c r="A118">
        <v>737484</v>
      </c>
      <c r="B118">
        <v>-12.130000000000001</v>
      </c>
      <c r="C118">
        <v>66.849999999999994</v>
      </c>
      <c r="D118">
        <v>54</v>
      </c>
      <c r="E118">
        <v>38.299999999999997</v>
      </c>
      <c r="F118">
        <f t="shared" si="12"/>
        <v>12.300000000000001</v>
      </c>
      <c r="G118">
        <f t="shared" si="13"/>
        <v>34</v>
      </c>
      <c r="H118">
        <v>37.5</v>
      </c>
      <c r="I118">
        <f t="shared" si="14"/>
        <v>14.9</v>
      </c>
      <c r="J118">
        <f t="shared" si="15"/>
        <v>-0.79999999999999716</v>
      </c>
      <c r="Q118">
        <v>-18.199999999999999</v>
      </c>
    </row>
    <row r="119" ht="14.25">
      <c r="A119">
        <v>743786</v>
      </c>
      <c r="B119">
        <v>-10.73</v>
      </c>
      <c r="C119">
        <v>66.739999999999995</v>
      </c>
      <c r="D119">
        <v>56</v>
      </c>
      <c r="E119">
        <v>38.399999999999999</v>
      </c>
      <c r="F119">
        <f t="shared" si="12"/>
        <v>12.4</v>
      </c>
      <c r="G119">
        <f t="shared" si="13"/>
        <v>35.200000000000003</v>
      </c>
      <c r="H119">
        <v>37.5</v>
      </c>
      <c r="I119">
        <f t="shared" si="14"/>
        <v>15.5</v>
      </c>
      <c r="J119">
        <f t="shared" si="15"/>
        <v>-0.89999999999999858</v>
      </c>
      <c r="Q119">
        <v>-18.199999999999999</v>
      </c>
    </row>
    <row r="120" ht="14.25">
      <c r="A120">
        <v>750090</v>
      </c>
      <c r="B120">
        <v>-10.73</v>
      </c>
      <c r="C120">
        <v>66.640000000000001</v>
      </c>
      <c r="D120">
        <v>55</v>
      </c>
      <c r="E120">
        <v>38.299999999999997</v>
      </c>
      <c r="F120">
        <f t="shared" si="12"/>
        <v>12.5</v>
      </c>
      <c r="G120">
        <f t="shared" si="13"/>
        <v>34.600000000000001</v>
      </c>
      <c r="H120">
        <v>37.5</v>
      </c>
      <c r="I120">
        <f t="shared" si="14"/>
        <v>15.199999999999999</v>
      </c>
      <c r="J120">
        <f t="shared" si="15"/>
        <v>-0.79999999999999716</v>
      </c>
      <c r="Q120">
        <v>-19.600000000000001</v>
      </c>
    </row>
    <row r="121" ht="14.25">
      <c r="A121">
        <v>756393</v>
      </c>
      <c r="B121">
        <v>-10.73</v>
      </c>
      <c r="C121">
        <v>66.530000000000001</v>
      </c>
      <c r="D121">
        <v>55</v>
      </c>
      <c r="E121">
        <v>38.299999999999997</v>
      </c>
      <c r="F121">
        <f t="shared" si="12"/>
        <v>12.6</v>
      </c>
      <c r="G121">
        <f t="shared" si="13"/>
        <v>34.600000000000001</v>
      </c>
      <c r="H121">
        <v>37.5</v>
      </c>
      <c r="I121">
        <f t="shared" si="14"/>
        <v>15.199999999999999</v>
      </c>
      <c r="J121">
        <f t="shared" si="15"/>
        <v>-0.79999999999999716</v>
      </c>
      <c r="Q121">
        <v>-18.199999999999999</v>
      </c>
    </row>
    <row r="122" ht="14.25">
      <c r="A122">
        <v>762697</v>
      </c>
      <c r="B122">
        <v>-10.73</v>
      </c>
      <c r="C122">
        <v>66.420000000000002</v>
      </c>
      <c r="D122">
        <v>55</v>
      </c>
      <c r="E122">
        <v>38.200000000000003</v>
      </c>
      <c r="F122">
        <f t="shared" si="12"/>
        <v>12.699999999999999</v>
      </c>
      <c r="G122">
        <f t="shared" si="13"/>
        <v>34.600000000000001</v>
      </c>
      <c r="H122">
        <v>37.5</v>
      </c>
      <c r="I122">
        <f t="shared" si="14"/>
        <v>15.199999999999999</v>
      </c>
      <c r="J122">
        <f t="shared" si="15"/>
        <v>-0.70000000000000284</v>
      </c>
      <c r="Q122">
        <v>-14</v>
      </c>
    </row>
    <row r="123" ht="14.25">
      <c r="A123">
        <v>769001</v>
      </c>
      <c r="B123">
        <v>-8.8699999999999992</v>
      </c>
      <c r="C123">
        <v>66.329999999999998</v>
      </c>
      <c r="D123">
        <v>57</v>
      </c>
      <c r="E123">
        <v>38.100000000000001</v>
      </c>
      <c r="F123">
        <f t="shared" si="12"/>
        <v>12.800000000000001</v>
      </c>
      <c r="G123">
        <f t="shared" si="13"/>
        <v>35.799999999999997</v>
      </c>
      <c r="H123">
        <v>37.5</v>
      </c>
      <c r="I123">
        <f t="shared" si="14"/>
        <v>15.800000000000001</v>
      </c>
      <c r="J123">
        <f t="shared" si="15"/>
        <v>-0.60000000000000142</v>
      </c>
      <c r="Q123">
        <v>-16.800000000000001</v>
      </c>
    </row>
    <row r="124" ht="14.25">
      <c r="A124">
        <v>775305</v>
      </c>
      <c r="B124">
        <v>-7.9299999999999997</v>
      </c>
      <c r="C124">
        <v>66.25</v>
      </c>
      <c r="D124">
        <v>58</v>
      </c>
      <c r="E124">
        <v>38.100000000000001</v>
      </c>
      <c r="F124">
        <f t="shared" si="12"/>
        <v>12.9</v>
      </c>
      <c r="G124">
        <f t="shared" si="13"/>
        <v>36.5</v>
      </c>
      <c r="H124">
        <v>37.5</v>
      </c>
      <c r="I124">
        <f t="shared" si="14"/>
        <v>16.100000000000001</v>
      </c>
      <c r="J124">
        <f t="shared" si="15"/>
        <v>-0.60000000000000142</v>
      </c>
      <c r="Q124">
        <v>-15.4</v>
      </c>
    </row>
    <row r="125" ht="14.25">
      <c r="A125">
        <v>781608</v>
      </c>
      <c r="B125">
        <v>-8.8699999999999992</v>
      </c>
      <c r="C125">
        <v>66.159999999999997</v>
      </c>
      <c r="D125">
        <v>57</v>
      </c>
      <c r="E125">
        <v>38.100000000000001</v>
      </c>
      <c r="F125">
        <f t="shared" si="12"/>
        <v>13</v>
      </c>
      <c r="G125">
        <f t="shared" si="13"/>
        <v>35.799999999999997</v>
      </c>
      <c r="H125">
        <v>37.5</v>
      </c>
      <c r="I125">
        <f t="shared" si="14"/>
        <v>15.800000000000001</v>
      </c>
      <c r="J125">
        <f t="shared" si="15"/>
        <v>-0.60000000000000142</v>
      </c>
      <c r="Q125">
        <v>-12.6</v>
      </c>
    </row>
    <row r="126" ht="14.25">
      <c r="A126">
        <v>787911</v>
      </c>
      <c r="B126">
        <v>-8.8699999999999992</v>
      </c>
      <c r="C126">
        <v>66.079999999999998</v>
      </c>
      <c r="D126">
        <v>57</v>
      </c>
      <c r="E126">
        <v>38.200000000000003</v>
      </c>
      <c r="F126">
        <f t="shared" si="12"/>
        <v>13.1</v>
      </c>
      <c r="G126">
        <f t="shared" si="13"/>
        <v>35.799999999999997</v>
      </c>
      <c r="H126">
        <v>37.5</v>
      </c>
      <c r="I126">
        <f t="shared" si="14"/>
        <v>15.800000000000001</v>
      </c>
      <c r="J126">
        <f t="shared" si="15"/>
        <v>-0.70000000000000284</v>
      </c>
      <c r="Q126">
        <v>-14</v>
      </c>
    </row>
    <row r="127" ht="14.25">
      <c r="A127">
        <v>794214</v>
      </c>
      <c r="B127">
        <v>-7.4699999999999998</v>
      </c>
      <c r="C127">
        <v>66</v>
      </c>
      <c r="D127">
        <v>58</v>
      </c>
      <c r="E127">
        <v>38.200000000000003</v>
      </c>
      <c r="F127">
        <f t="shared" si="12"/>
        <v>13.199999999999999</v>
      </c>
      <c r="G127">
        <f t="shared" si="13"/>
        <v>36.5</v>
      </c>
      <c r="H127">
        <v>37.5</v>
      </c>
      <c r="I127">
        <f t="shared" si="14"/>
        <v>16.100000000000001</v>
      </c>
      <c r="J127">
        <f t="shared" si="15"/>
        <v>-0.70000000000000284</v>
      </c>
      <c r="Q127">
        <v>-15.4</v>
      </c>
    </row>
    <row r="128" ht="14.25">
      <c r="A128">
        <v>800518</v>
      </c>
      <c r="B128">
        <v>-7</v>
      </c>
      <c r="C128">
        <v>65.930000000000007</v>
      </c>
      <c r="D128">
        <v>58</v>
      </c>
      <c r="E128">
        <v>38</v>
      </c>
      <c r="F128">
        <f t="shared" si="12"/>
        <v>13.300000000000001</v>
      </c>
      <c r="G128">
        <f t="shared" si="13"/>
        <v>36.5</v>
      </c>
      <c r="H128">
        <v>37.5</v>
      </c>
      <c r="I128">
        <f t="shared" si="14"/>
        <v>16.100000000000001</v>
      </c>
      <c r="J128">
        <f t="shared" si="15"/>
        <v>-0.5</v>
      </c>
      <c r="Q128">
        <v>-12.6</v>
      </c>
    </row>
    <row r="129" ht="14.25">
      <c r="A129">
        <v>806820</v>
      </c>
      <c r="B129">
        <v>-7.4699999999999998</v>
      </c>
      <c r="C129">
        <v>65.859999999999999</v>
      </c>
      <c r="D129">
        <v>58</v>
      </c>
      <c r="E129">
        <v>38</v>
      </c>
      <c r="F129">
        <f t="shared" si="12"/>
        <v>13.4</v>
      </c>
      <c r="G129">
        <f t="shared" si="13"/>
        <v>36.5</v>
      </c>
      <c r="H129">
        <v>37.5</v>
      </c>
      <c r="I129">
        <f t="shared" si="14"/>
        <v>16.100000000000001</v>
      </c>
      <c r="J129">
        <f t="shared" si="15"/>
        <v>-0.5</v>
      </c>
      <c r="Q129">
        <v>-11.199999999999999</v>
      </c>
    </row>
    <row r="130" ht="14.25">
      <c r="A130">
        <v>813123</v>
      </c>
      <c r="B130">
        <v>-6.0700000000000003</v>
      </c>
      <c r="C130">
        <v>65.799999999999997</v>
      </c>
      <c r="D130">
        <v>59</v>
      </c>
      <c r="E130">
        <v>38.100000000000001</v>
      </c>
      <c r="F130">
        <f t="shared" si="12"/>
        <v>13.6</v>
      </c>
      <c r="G130">
        <f t="shared" si="13"/>
        <v>37.100000000000001</v>
      </c>
      <c r="H130">
        <v>37.5</v>
      </c>
      <c r="I130">
        <f t="shared" si="14"/>
        <v>16.300000000000001</v>
      </c>
      <c r="J130">
        <f t="shared" si="15"/>
        <v>-0.60000000000000142</v>
      </c>
      <c r="Q130">
        <v>-9.8000000000000007</v>
      </c>
    </row>
    <row r="131" ht="14.25">
      <c r="A131">
        <v>819426</v>
      </c>
      <c r="B131">
        <v>-4.2000000000000002</v>
      </c>
      <c r="C131">
        <v>65.75</v>
      </c>
      <c r="D131">
        <v>61</v>
      </c>
      <c r="E131">
        <v>37.799999999999997</v>
      </c>
      <c r="F131">
        <f t="shared" si="12"/>
        <v>13.699999999999999</v>
      </c>
      <c r="G131">
        <f t="shared" si="13"/>
        <v>38.399999999999999</v>
      </c>
      <c r="H131">
        <v>37.5</v>
      </c>
      <c r="I131">
        <f t="shared" si="14"/>
        <v>16.899999999999999</v>
      </c>
      <c r="J131">
        <f t="shared" si="15"/>
        <v>-0.29999999999999716</v>
      </c>
      <c r="Q131">
        <v>-9.8000000000000007</v>
      </c>
    </row>
    <row r="132" ht="14.25">
      <c r="A132">
        <v>825730</v>
      </c>
      <c r="B132">
        <v>-5.1299999999999999</v>
      </c>
      <c r="C132">
        <v>65.700000000000003</v>
      </c>
      <c r="D132">
        <v>60</v>
      </c>
      <c r="E132">
        <v>37.799999999999997</v>
      </c>
      <c r="F132">
        <f t="shared" si="12"/>
        <v>13.800000000000001</v>
      </c>
      <c r="G132">
        <f t="shared" si="13"/>
        <v>37.700000000000003</v>
      </c>
      <c r="H132">
        <v>37.5</v>
      </c>
      <c r="I132">
        <f t="shared" si="14"/>
        <v>16.600000000000001</v>
      </c>
      <c r="J132">
        <f t="shared" si="15"/>
        <v>-0.29999999999999716</v>
      </c>
      <c r="Q132">
        <v>-7</v>
      </c>
    </row>
    <row r="133" ht="14.25">
      <c r="A133">
        <v>832032</v>
      </c>
      <c r="B133">
        <v>-3.27</v>
      </c>
      <c r="C133">
        <v>65.670000000000002</v>
      </c>
      <c r="D133">
        <v>62</v>
      </c>
      <c r="E133">
        <v>37.700000000000003</v>
      </c>
      <c r="F133">
        <f t="shared" si="12"/>
        <v>13.9</v>
      </c>
      <c r="G133">
        <f t="shared" si="13"/>
        <v>39</v>
      </c>
      <c r="H133">
        <v>37.5</v>
      </c>
      <c r="I133">
        <f t="shared" si="14"/>
        <v>17.199999999999999</v>
      </c>
      <c r="J133">
        <f t="shared" si="15"/>
        <v>-0.20000000000000284</v>
      </c>
      <c r="Q133">
        <v>-8.4000000000000004</v>
      </c>
    </row>
    <row r="134" ht="14.25">
      <c r="A134">
        <v>838335</v>
      </c>
      <c r="B134">
        <v>-2.3300000000000001</v>
      </c>
      <c r="C134">
        <v>65.650000000000006</v>
      </c>
      <c r="D134">
        <v>63</v>
      </c>
      <c r="E134">
        <v>37.700000000000003</v>
      </c>
      <c r="F134">
        <f t="shared" si="12"/>
        <v>14</v>
      </c>
      <c r="G134">
        <f t="shared" si="13"/>
        <v>39.600000000000001</v>
      </c>
      <c r="H134">
        <v>37.5</v>
      </c>
      <c r="I134">
        <f t="shared" si="14"/>
        <v>17.399999999999999</v>
      </c>
      <c r="J134">
        <f t="shared" si="15"/>
        <v>-0.20000000000000284</v>
      </c>
      <c r="Q134">
        <v>-7</v>
      </c>
    </row>
    <row r="135" ht="14.25">
      <c r="A135">
        <v>844639</v>
      </c>
      <c r="B135">
        <v>-3.73</v>
      </c>
      <c r="C135">
        <v>65.609999999999999</v>
      </c>
      <c r="D135">
        <v>61</v>
      </c>
      <c r="E135">
        <v>37.600000000000001</v>
      </c>
      <c r="F135">
        <f t="shared" si="12"/>
        <v>14.1</v>
      </c>
      <c r="G135">
        <f t="shared" si="13"/>
        <v>38.399999999999999</v>
      </c>
      <c r="H135">
        <v>37.5</v>
      </c>
      <c r="I135">
        <f t="shared" si="14"/>
        <v>16.899999999999999</v>
      </c>
      <c r="J135">
        <f t="shared" si="15"/>
        <v>-0.10000000000000142</v>
      </c>
      <c r="Q135">
        <v>-7</v>
      </c>
    </row>
    <row r="136" ht="14.25">
      <c r="A136">
        <v>850942</v>
      </c>
      <c r="B136">
        <v>-0.46999999999999997</v>
      </c>
      <c r="C136">
        <v>65.599999999999994</v>
      </c>
      <c r="D136">
        <v>65</v>
      </c>
      <c r="E136">
        <v>37.5</v>
      </c>
      <c r="F136">
        <f t="shared" si="12"/>
        <v>14.199999999999999</v>
      </c>
      <c r="G136">
        <f t="shared" si="13"/>
        <v>40.899999999999999</v>
      </c>
      <c r="H136">
        <v>37.5</v>
      </c>
      <c r="I136">
        <f t="shared" si="14"/>
        <v>18</v>
      </c>
      <c r="J136">
        <f t="shared" si="15"/>
        <v>0</v>
      </c>
      <c r="Q136">
        <v>-5.5999999999999996</v>
      </c>
    </row>
    <row r="137" ht="14.25">
      <c r="A137">
        <v>857246</v>
      </c>
      <c r="B137">
        <v>-2.3300000000000001</v>
      </c>
      <c r="C137">
        <v>65.579999999999998</v>
      </c>
      <c r="D137">
        <v>63</v>
      </c>
      <c r="E137">
        <v>37.600000000000001</v>
      </c>
      <c r="F137">
        <f t="shared" si="12"/>
        <v>14.300000000000001</v>
      </c>
      <c r="G137">
        <f t="shared" si="13"/>
        <v>39.600000000000001</v>
      </c>
      <c r="H137">
        <v>37.5</v>
      </c>
      <c r="I137">
        <f t="shared" si="14"/>
        <v>17.399999999999999</v>
      </c>
      <c r="J137">
        <f t="shared" si="15"/>
        <v>-0.10000000000000142</v>
      </c>
      <c r="Q137">
        <v>-1.3999999999999999</v>
      </c>
    </row>
    <row r="138" ht="14.25">
      <c r="A138">
        <v>863550</v>
      </c>
      <c r="B138">
        <v>-0.93000000000000005</v>
      </c>
      <c r="C138">
        <v>65.569999999999993</v>
      </c>
      <c r="D138">
        <v>64</v>
      </c>
      <c r="E138">
        <v>37.600000000000001</v>
      </c>
      <c r="F138">
        <f t="shared" si="12"/>
        <v>14.4</v>
      </c>
      <c r="G138">
        <f t="shared" si="13"/>
        <v>40.299999999999997</v>
      </c>
      <c r="H138">
        <v>37.5</v>
      </c>
      <c r="I138">
        <f t="shared" si="14"/>
        <v>17.699999999999999</v>
      </c>
      <c r="J138">
        <f t="shared" si="15"/>
        <v>-0.10000000000000142</v>
      </c>
      <c r="Q138">
        <v>-2.7999999999999998</v>
      </c>
    </row>
    <row r="139" ht="14.25">
      <c r="A139">
        <v>869854</v>
      </c>
      <c r="B139">
        <v>-0.46999999999999997</v>
      </c>
      <c r="C139">
        <v>65.569999999999993</v>
      </c>
      <c r="D139">
        <v>65</v>
      </c>
      <c r="E139">
        <v>37.600000000000001</v>
      </c>
      <c r="F139">
        <f t="shared" si="12"/>
        <v>14.5</v>
      </c>
      <c r="G139">
        <f t="shared" si="13"/>
        <v>40.899999999999999</v>
      </c>
      <c r="H139">
        <v>37.5</v>
      </c>
      <c r="I139">
        <f t="shared" si="14"/>
        <v>18</v>
      </c>
      <c r="J139">
        <f t="shared" si="15"/>
        <v>-0.10000000000000142</v>
      </c>
      <c r="Q139">
        <v>-2.7999999999999998</v>
      </c>
    </row>
    <row r="140" ht="14.25">
      <c r="A140">
        <v>876156</v>
      </c>
      <c r="B140">
        <v>0</v>
      </c>
      <c r="C140">
        <v>65.569999999999993</v>
      </c>
      <c r="D140">
        <v>65</v>
      </c>
      <c r="E140">
        <v>37.5</v>
      </c>
      <c r="F140">
        <f t="shared" si="12"/>
        <v>14.6</v>
      </c>
      <c r="G140">
        <f t="shared" si="13"/>
        <v>40.899999999999999</v>
      </c>
      <c r="H140">
        <v>37.5</v>
      </c>
      <c r="I140">
        <f t="shared" si="14"/>
        <v>18</v>
      </c>
      <c r="J140">
        <f t="shared" si="15"/>
        <v>0</v>
      </c>
      <c r="Q140">
        <v>0</v>
      </c>
    </row>
    <row r="141" ht="14.25">
      <c r="A141">
        <v>882459</v>
      </c>
      <c r="B141">
        <v>-0.46999999999999997</v>
      </c>
      <c r="C141">
        <v>65.560000000000002</v>
      </c>
      <c r="D141">
        <v>65</v>
      </c>
      <c r="E141">
        <v>37.200000000000003</v>
      </c>
      <c r="F141">
        <f t="shared" si="12"/>
        <v>14.699999999999999</v>
      </c>
      <c r="G141">
        <f t="shared" si="13"/>
        <v>40.899999999999999</v>
      </c>
      <c r="H141">
        <v>37.5</v>
      </c>
      <c r="I141">
        <f t="shared" si="14"/>
        <v>18</v>
      </c>
      <c r="J141">
        <f t="shared" si="15"/>
        <v>0.29999999999999716</v>
      </c>
      <c r="Q141">
        <v>2.7999999999999998</v>
      </c>
    </row>
    <row r="142" ht="14.25">
      <c r="A142">
        <v>888762</v>
      </c>
      <c r="B142">
        <v>1.3999999999999999</v>
      </c>
      <c r="C142">
        <v>65.579999999999998</v>
      </c>
      <c r="D142">
        <v>66</v>
      </c>
      <c r="E142">
        <v>37.5</v>
      </c>
      <c r="F142">
        <f t="shared" si="12"/>
        <v>14.800000000000001</v>
      </c>
      <c r="G142">
        <f t="shared" si="13"/>
        <v>41.5</v>
      </c>
      <c r="H142">
        <v>37.5</v>
      </c>
      <c r="I142">
        <f t="shared" si="14"/>
        <v>18.300000000000001</v>
      </c>
      <c r="J142">
        <f t="shared" si="15"/>
        <v>0</v>
      </c>
      <c r="Q142">
        <v>1.3999999999999999</v>
      </c>
    </row>
    <row r="143" ht="14.25">
      <c r="A143">
        <v>895066</v>
      </c>
      <c r="B143">
        <v>1.3999999999999999</v>
      </c>
      <c r="C143">
        <v>65.590000000000003</v>
      </c>
      <c r="D143">
        <v>66</v>
      </c>
      <c r="E143">
        <v>37.399999999999999</v>
      </c>
      <c r="F143">
        <f t="shared" si="12"/>
        <v>14.9</v>
      </c>
      <c r="G143">
        <f t="shared" si="13"/>
        <v>41.5</v>
      </c>
      <c r="H143">
        <v>37.5</v>
      </c>
      <c r="I143">
        <f t="shared" si="14"/>
        <v>18.300000000000001</v>
      </c>
      <c r="J143">
        <f t="shared" si="15"/>
        <v>0.10000000000000142</v>
      </c>
      <c r="Q143">
        <v>1.3999999999999999</v>
      </c>
    </row>
    <row r="144" ht="14.25">
      <c r="A144">
        <v>901368</v>
      </c>
      <c r="B144">
        <v>2.3300000000000001</v>
      </c>
      <c r="C144">
        <v>65.609999999999999</v>
      </c>
      <c r="D144">
        <v>67</v>
      </c>
      <c r="E144">
        <v>37.399999999999999</v>
      </c>
      <c r="F144">
        <f t="shared" si="12"/>
        <v>15</v>
      </c>
      <c r="G144">
        <f t="shared" si="13"/>
        <v>42.100000000000001</v>
      </c>
      <c r="H144">
        <v>37.5</v>
      </c>
      <c r="I144">
        <f t="shared" si="14"/>
        <v>18.5</v>
      </c>
      <c r="J144">
        <f t="shared" si="15"/>
        <v>0.10000000000000142</v>
      </c>
      <c r="Q144">
        <v>2.7999999999999998</v>
      </c>
    </row>
    <row r="145" ht="14.25">
      <c r="A145">
        <v>907671</v>
      </c>
      <c r="B145">
        <v>2.7999999999999998</v>
      </c>
      <c r="C145">
        <v>65.640000000000001</v>
      </c>
      <c r="D145">
        <v>68</v>
      </c>
      <c r="E145">
        <v>37.299999999999997</v>
      </c>
      <c r="F145">
        <f t="shared" si="12"/>
        <v>15.1</v>
      </c>
      <c r="G145">
        <f t="shared" si="13"/>
        <v>42.799999999999997</v>
      </c>
      <c r="H145">
        <v>37.5</v>
      </c>
      <c r="I145">
        <f t="shared" si="14"/>
        <v>18.800000000000001</v>
      </c>
      <c r="J145">
        <f t="shared" si="15"/>
        <v>0.20000000000000284</v>
      </c>
      <c r="Q145">
        <v>4.2000000000000002</v>
      </c>
    </row>
    <row r="146" ht="14.25">
      <c r="A146">
        <v>913974</v>
      </c>
      <c r="B146">
        <v>4.6699999999999999</v>
      </c>
      <c r="C146">
        <v>65.689999999999998</v>
      </c>
      <c r="D146">
        <v>70</v>
      </c>
      <c r="E146">
        <v>37.200000000000003</v>
      </c>
      <c r="F146">
        <f t="shared" si="12"/>
        <v>15.199999999999999</v>
      </c>
      <c r="G146">
        <f t="shared" si="13"/>
        <v>44</v>
      </c>
      <c r="H146">
        <v>37.5</v>
      </c>
      <c r="I146">
        <f t="shared" si="14"/>
        <v>19.399999999999999</v>
      </c>
      <c r="J146">
        <f t="shared" si="15"/>
        <v>0.29999999999999716</v>
      </c>
      <c r="Q146">
        <v>1.3999999999999999</v>
      </c>
    </row>
    <row r="147" ht="14.25">
      <c r="A147">
        <v>920278</v>
      </c>
      <c r="B147">
        <v>3.73</v>
      </c>
      <c r="C147">
        <v>65.730000000000004</v>
      </c>
      <c r="D147">
        <v>69</v>
      </c>
      <c r="E147">
        <v>37.299999999999997</v>
      </c>
      <c r="F147">
        <f t="shared" si="12"/>
        <v>15.300000000000001</v>
      </c>
      <c r="G147">
        <f t="shared" si="13"/>
        <v>43.399999999999999</v>
      </c>
      <c r="H147">
        <v>37.5</v>
      </c>
      <c r="I147">
        <f t="shared" si="14"/>
        <v>19.100000000000001</v>
      </c>
      <c r="J147">
        <f t="shared" si="15"/>
        <v>0.20000000000000284</v>
      </c>
      <c r="Q147">
        <v>5.5999999999999996</v>
      </c>
    </row>
    <row r="148" ht="14.25">
      <c r="A148">
        <v>926580</v>
      </c>
      <c r="B148">
        <v>4.2000000000000002</v>
      </c>
      <c r="C148">
        <v>65.769999999999996</v>
      </c>
      <c r="D148">
        <v>69</v>
      </c>
      <c r="E148">
        <v>37.100000000000001</v>
      </c>
      <c r="F148">
        <f t="shared" si="12"/>
        <v>15.4</v>
      </c>
      <c r="G148">
        <f t="shared" si="13"/>
        <v>43.399999999999999</v>
      </c>
      <c r="H148">
        <v>37.5</v>
      </c>
      <c r="I148">
        <f t="shared" si="14"/>
        <v>19.100000000000001</v>
      </c>
      <c r="J148">
        <f t="shared" si="15"/>
        <v>0.39999999999999858</v>
      </c>
      <c r="Q148">
        <v>5.5999999999999996</v>
      </c>
    </row>
    <row r="149" ht="14.25">
      <c r="A149">
        <v>932884</v>
      </c>
      <c r="B149">
        <v>5.1299999999999999</v>
      </c>
      <c r="C149">
        <v>65.819999999999993</v>
      </c>
      <c r="D149">
        <v>70</v>
      </c>
      <c r="E149">
        <v>37.100000000000001</v>
      </c>
      <c r="F149">
        <f t="shared" si="12"/>
        <v>15.5</v>
      </c>
      <c r="G149">
        <f t="shared" si="13"/>
        <v>44</v>
      </c>
      <c r="H149">
        <v>37.5</v>
      </c>
      <c r="I149">
        <f t="shared" si="14"/>
        <v>19.399999999999999</v>
      </c>
      <c r="J149">
        <f t="shared" si="15"/>
        <v>0.39999999999999858</v>
      </c>
      <c r="Q149">
        <v>5.5999999999999996</v>
      </c>
    </row>
    <row r="150" ht="14.25">
      <c r="A150">
        <v>939188</v>
      </c>
      <c r="B150">
        <v>5.5999999999999996</v>
      </c>
      <c r="C150">
        <v>65.870000000000005</v>
      </c>
      <c r="D150">
        <v>71</v>
      </c>
      <c r="E150">
        <v>37.200000000000003</v>
      </c>
      <c r="F150">
        <f t="shared" si="12"/>
        <v>15.699999999999999</v>
      </c>
      <c r="G150">
        <f t="shared" si="13"/>
        <v>44.700000000000003</v>
      </c>
      <c r="H150">
        <v>37.5</v>
      </c>
      <c r="I150">
        <f t="shared" si="14"/>
        <v>19.600000000000001</v>
      </c>
      <c r="J150">
        <f t="shared" si="15"/>
        <v>0.29999999999999716</v>
      </c>
      <c r="Q150">
        <v>5.5999999999999996</v>
      </c>
    </row>
    <row r="151" ht="14.25">
      <c r="A151">
        <v>945490</v>
      </c>
      <c r="B151">
        <v>5.5999999999999996</v>
      </c>
      <c r="C151">
        <v>65.930000000000007</v>
      </c>
      <c r="D151">
        <v>71</v>
      </c>
      <c r="E151">
        <v>37.200000000000003</v>
      </c>
      <c r="F151">
        <f t="shared" si="12"/>
        <v>15.800000000000001</v>
      </c>
      <c r="G151">
        <f t="shared" si="13"/>
        <v>44.700000000000003</v>
      </c>
      <c r="H151">
        <v>37.5</v>
      </c>
      <c r="I151">
        <f t="shared" si="14"/>
        <v>19.600000000000001</v>
      </c>
      <c r="J151">
        <f t="shared" si="15"/>
        <v>0.29999999999999716</v>
      </c>
      <c r="Q151">
        <v>7</v>
      </c>
    </row>
    <row r="152" ht="14.25">
      <c r="A152">
        <v>951795</v>
      </c>
      <c r="B152">
        <v>5.5999999999999996</v>
      </c>
      <c r="C152">
        <v>65.989999999999995</v>
      </c>
      <c r="D152">
        <v>71</v>
      </c>
      <c r="E152">
        <v>36.899999999999999</v>
      </c>
      <c r="F152">
        <f t="shared" si="12"/>
        <v>15.9</v>
      </c>
      <c r="G152">
        <f t="shared" si="13"/>
        <v>44.700000000000003</v>
      </c>
      <c r="H152">
        <v>37.5</v>
      </c>
      <c r="I152">
        <f t="shared" si="14"/>
        <v>19.600000000000001</v>
      </c>
      <c r="J152">
        <f t="shared" si="15"/>
        <v>0.60000000000000142</v>
      </c>
      <c r="Q152">
        <v>7</v>
      </c>
    </row>
    <row r="153" ht="14.25">
      <c r="A153">
        <v>958098</v>
      </c>
      <c r="B153">
        <v>7</v>
      </c>
      <c r="C153">
        <v>66.060000000000002</v>
      </c>
      <c r="D153">
        <v>73</v>
      </c>
      <c r="E153">
        <v>37</v>
      </c>
      <c r="F153">
        <f t="shared" si="12"/>
        <v>16</v>
      </c>
      <c r="G153">
        <f t="shared" si="13"/>
        <v>45.899999999999999</v>
      </c>
      <c r="H153">
        <v>37.5</v>
      </c>
      <c r="I153">
        <f t="shared" si="14"/>
        <v>20.199999999999999</v>
      </c>
      <c r="J153">
        <f t="shared" si="15"/>
        <v>0.5</v>
      </c>
      <c r="Q153">
        <v>9.8000000000000007</v>
      </c>
    </row>
    <row r="154" ht="14.25">
      <c r="A154">
        <v>964402</v>
      </c>
      <c r="B154">
        <v>7</v>
      </c>
      <c r="C154">
        <v>66.129999999999995</v>
      </c>
      <c r="D154">
        <v>73</v>
      </c>
      <c r="E154">
        <v>37</v>
      </c>
      <c r="F154">
        <f t="shared" si="12"/>
        <v>16.100000000000001</v>
      </c>
      <c r="G154">
        <f t="shared" si="13"/>
        <v>45.899999999999999</v>
      </c>
      <c r="H154">
        <v>37.5</v>
      </c>
      <c r="I154">
        <f t="shared" si="14"/>
        <v>20.199999999999999</v>
      </c>
      <c r="J154">
        <f t="shared" si="15"/>
        <v>0.5</v>
      </c>
      <c r="Q154">
        <v>9.8000000000000007</v>
      </c>
    </row>
    <row r="155" ht="14.25">
      <c r="A155">
        <v>970704</v>
      </c>
      <c r="B155">
        <v>5.5999999999999996</v>
      </c>
      <c r="C155">
        <v>66.180000000000007</v>
      </c>
      <c r="D155">
        <v>71</v>
      </c>
      <c r="E155">
        <v>37.100000000000001</v>
      </c>
      <c r="F155">
        <f t="shared" si="12"/>
        <v>16.199999999999999</v>
      </c>
      <c r="G155">
        <f t="shared" si="13"/>
        <v>44.700000000000003</v>
      </c>
      <c r="H155">
        <v>37.5</v>
      </c>
      <c r="I155">
        <f t="shared" si="14"/>
        <v>19.600000000000001</v>
      </c>
      <c r="J155">
        <f t="shared" si="15"/>
        <v>0.39999999999999858</v>
      </c>
      <c r="Q155">
        <v>7</v>
      </c>
    </row>
    <row r="156" ht="14.25">
      <c r="A156">
        <v>977007</v>
      </c>
      <c r="B156">
        <v>7.9299999999999997</v>
      </c>
      <c r="C156">
        <v>66.260000000000005</v>
      </c>
      <c r="D156">
        <v>74</v>
      </c>
      <c r="E156">
        <v>37.100000000000001</v>
      </c>
      <c r="F156">
        <f t="shared" si="12"/>
        <v>16.300000000000001</v>
      </c>
      <c r="G156">
        <f t="shared" si="13"/>
        <v>46.5</v>
      </c>
      <c r="H156">
        <v>37.5</v>
      </c>
      <c r="I156">
        <f t="shared" si="14"/>
        <v>20.5</v>
      </c>
      <c r="J156">
        <f t="shared" si="15"/>
        <v>0.39999999999999858</v>
      </c>
      <c r="Q156">
        <v>9.8000000000000007</v>
      </c>
    </row>
    <row r="157" ht="14.25">
      <c r="A157">
        <v>983309</v>
      </c>
      <c r="B157">
        <v>8.4000000000000004</v>
      </c>
      <c r="C157">
        <v>66.349999999999994</v>
      </c>
      <c r="D157">
        <v>74</v>
      </c>
      <c r="E157">
        <v>36.899999999999999</v>
      </c>
      <c r="F157">
        <f t="shared" si="12"/>
        <v>16.399999999999999</v>
      </c>
      <c r="G157">
        <f t="shared" si="13"/>
        <v>46.5</v>
      </c>
      <c r="H157">
        <v>37.5</v>
      </c>
      <c r="I157">
        <f t="shared" si="14"/>
        <v>20.5</v>
      </c>
      <c r="J157">
        <f t="shared" si="15"/>
        <v>0.60000000000000142</v>
      </c>
      <c r="Q157">
        <v>9.8000000000000007</v>
      </c>
    </row>
    <row r="158" ht="14.25">
      <c r="A158">
        <v>989614</v>
      </c>
      <c r="B158">
        <v>7.9299999999999997</v>
      </c>
      <c r="C158">
        <v>66.430000000000007</v>
      </c>
      <c r="D158">
        <v>74</v>
      </c>
      <c r="E158">
        <v>36.799999999999997</v>
      </c>
      <c r="F158">
        <f t="shared" si="12"/>
        <v>16.5</v>
      </c>
      <c r="G158">
        <f t="shared" si="13"/>
        <v>46.5</v>
      </c>
      <c r="H158">
        <v>37.5</v>
      </c>
      <c r="I158">
        <f t="shared" si="14"/>
        <v>20.5</v>
      </c>
      <c r="J158">
        <f t="shared" si="15"/>
        <v>0.70000000000000284</v>
      </c>
      <c r="Q158">
        <v>8.4000000000000004</v>
      </c>
    </row>
    <row r="159" ht="14.25">
      <c r="A159">
        <v>995915</v>
      </c>
      <c r="B159">
        <v>8.8699999999999992</v>
      </c>
      <c r="C159">
        <v>66.510000000000005</v>
      </c>
      <c r="D159">
        <v>75</v>
      </c>
      <c r="E159">
        <v>36.799999999999997</v>
      </c>
      <c r="F159">
        <f t="shared" si="12"/>
        <v>16.600000000000001</v>
      </c>
      <c r="G159">
        <f t="shared" si="13"/>
        <v>47.200000000000003</v>
      </c>
      <c r="H159">
        <v>37.5</v>
      </c>
      <c r="I159">
        <f t="shared" si="14"/>
        <v>20.800000000000001</v>
      </c>
      <c r="J159">
        <f t="shared" si="15"/>
        <v>0.70000000000000284</v>
      </c>
      <c r="Q159">
        <v>16.800000000000001</v>
      </c>
    </row>
    <row r="160" ht="14.25">
      <c r="A160">
        <v>1002218</v>
      </c>
      <c r="B160">
        <v>11.199999999999999</v>
      </c>
      <c r="C160">
        <v>66.629999999999995</v>
      </c>
      <c r="D160">
        <v>77</v>
      </c>
      <c r="E160">
        <v>36.799999999999997</v>
      </c>
      <c r="F160">
        <f t="shared" si="12"/>
        <v>16.699999999999999</v>
      </c>
      <c r="G160">
        <f t="shared" si="13"/>
        <v>48.399999999999999</v>
      </c>
      <c r="H160">
        <v>37.5</v>
      </c>
      <c r="I160">
        <f t="shared" si="14"/>
        <v>21.300000000000001</v>
      </c>
      <c r="J160">
        <f t="shared" si="15"/>
        <v>0.70000000000000284</v>
      </c>
      <c r="Q160">
        <v>12.6</v>
      </c>
    </row>
    <row r="161" ht="14.25">
      <c r="A161">
        <v>1008521</v>
      </c>
      <c r="B161">
        <v>9.3300000000000001</v>
      </c>
      <c r="C161">
        <v>66.719999999999999</v>
      </c>
      <c r="D161">
        <v>76</v>
      </c>
      <c r="E161">
        <v>36.799999999999997</v>
      </c>
      <c r="F161">
        <f t="shared" si="12"/>
        <v>16.800000000000001</v>
      </c>
      <c r="G161">
        <f t="shared" si="13"/>
        <v>47.799999999999997</v>
      </c>
      <c r="H161">
        <v>37.5</v>
      </c>
      <c r="I161">
        <f t="shared" si="14"/>
        <v>21</v>
      </c>
      <c r="J161">
        <f t="shared" si="15"/>
        <v>0.70000000000000284</v>
      </c>
      <c r="Q161">
        <v>11.199999999999999</v>
      </c>
    </row>
    <row r="162" ht="14.25">
      <c r="A162">
        <v>1014824</v>
      </c>
      <c r="B162">
        <v>8.8699999999999992</v>
      </c>
      <c r="C162">
        <v>66.810000000000002</v>
      </c>
      <c r="D162">
        <v>75</v>
      </c>
      <c r="E162">
        <v>36.799999999999997</v>
      </c>
      <c r="F162">
        <f t="shared" si="12"/>
        <v>16.899999999999999</v>
      </c>
      <c r="G162">
        <f t="shared" si="13"/>
        <v>47.200000000000003</v>
      </c>
      <c r="H162">
        <v>37.5</v>
      </c>
      <c r="I162">
        <f t="shared" si="14"/>
        <v>20.800000000000001</v>
      </c>
      <c r="J162">
        <f t="shared" si="15"/>
        <v>0.70000000000000284</v>
      </c>
      <c r="Q162">
        <v>15.4</v>
      </c>
    </row>
    <row r="163" ht="14.25">
      <c r="A163">
        <v>1021128</v>
      </c>
      <c r="B163">
        <v>9.8000000000000007</v>
      </c>
      <c r="C163">
        <v>66.909999999999997</v>
      </c>
      <c r="D163">
        <v>76</v>
      </c>
      <c r="E163">
        <v>36.799999999999997</v>
      </c>
      <c r="F163">
        <f t="shared" si="12"/>
        <v>17</v>
      </c>
      <c r="G163">
        <f t="shared" si="13"/>
        <v>47.799999999999997</v>
      </c>
      <c r="H163">
        <v>37.5</v>
      </c>
      <c r="I163">
        <f t="shared" si="14"/>
        <v>21</v>
      </c>
      <c r="J163">
        <f t="shared" si="15"/>
        <v>0.70000000000000284</v>
      </c>
      <c r="Q163">
        <v>11.199999999999999</v>
      </c>
    </row>
    <row r="164" ht="14.25">
      <c r="A164">
        <v>1027432</v>
      </c>
      <c r="B164">
        <v>9.3300000000000001</v>
      </c>
      <c r="C164">
        <v>67</v>
      </c>
      <c r="D164">
        <v>76</v>
      </c>
      <c r="E164">
        <v>36.799999999999997</v>
      </c>
      <c r="F164">
        <f t="shared" ref="F164:F227" si="16">ROUND(A164/60000,1)</f>
        <v>17.100000000000001</v>
      </c>
      <c r="G164">
        <f t="shared" ref="G164:G227" si="17">ROUND((D164/159)*100,1)</f>
        <v>47.799999999999997</v>
      </c>
      <c r="H164">
        <v>37.5</v>
      </c>
      <c r="I164">
        <f t="shared" ref="I164:I227" si="18">ROUND((D164/159)*44,1)</f>
        <v>21</v>
      </c>
      <c r="J164">
        <f t="shared" ref="J164:J227" si="19">37.5-E164</f>
        <v>0.70000000000000284</v>
      </c>
      <c r="Q164">
        <v>11.199999999999999</v>
      </c>
    </row>
    <row r="165" ht="14.25">
      <c r="A165">
        <v>1033737</v>
      </c>
      <c r="B165">
        <v>11.67</v>
      </c>
      <c r="C165">
        <v>67.120000000000005</v>
      </c>
      <c r="D165">
        <v>78</v>
      </c>
      <c r="E165">
        <v>36.700000000000003</v>
      </c>
      <c r="F165">
        <f t="shared" si="16"/>
        <v>17.199999999999999</v>
      </c>
      <c r="G165">
        <f t="shared" si="17"/>
        <v>49.100000000000001</v>
      </c>
      <c r="H165">
        <v>37.5</v>
      </c>
      <c r="I165">
        <f t="shared" si="18"/>
        <v>21.600000000000001</v>
      </c>
      <c r="J165">
        <f t="shared" si="19"/>
        <v>0.79999999999999716</v>
      </c>
      <c r="Q165">
        <v>14</v>
      </c>
    </row>
    <row r="166" ht="14.25">
      <c r="A166">
        <v>1040039</v>
      </c>
      <c r="B166">
        <v>9.8000000000000007</v>
      </c>
      <c r="C166">
        <v>67.209999999999994</v>
      </c>
      <c r="D166">
        <v>77</v>
      </c>
      <c r="E166">
        <v>36.799999999999997</v>
      </c>
      <c r="F166">
        <f t="shared" si="16"/>
        <v>17.300000000000001</v>
      </c>
      <c r="G166">
        <f t="shared" si="17"/>
        <v>48.399999999999999</v>
      </c>
      <c r="H166">
        <v>37.5</v>
      </c>
      <c r="I166">
        <f t="shared" si="18"/>
        <v>21.300000000000001</v>
      </c>
      <c r="J166">
        <f t="shared" si="19"/>
        <v>0.70000000000000284</v>
      </c>
      <c r="Q166">
        <v>12.6</v>
      </c>
    </row>
    <row r="167" ht="14.25">
      <c r="A167">
        <v>1046343</v>
      </c>
      <c r="B167">
        <v>11.67</v>
      </c>
      <c r="C167">
        <v>67.329999999999998</v>
      </c>
      <c r="D167">
        <v>78</v>
      </c>
      <c r="E167">
        <v>36.700000000000003</v>
      </c>
      <c r="F167">
        <f t="shared" si="16"/>
        <v>17.399999999999999</v>
      </c>
      <c r="G167">
        <f t="shared" si="17"/>
        <v>49.100000000000001</v>
      </c>
      <c r="H167">
        <v>37.5</v>
      </c>
      <c r="I167">
        <f t="shared" si="18"/>
        <v>21.600000000000001</v>
      </c>
      <c r="J167">
        <f t="shared" si="19"/>
        <v>0.79999999999999716</v>
      </c>
      <c r="Q167">
        <v>19.600000000000001</v>
      </c>
    </row>
    <row r="168" ht="14.25">
      <c r="A168">
        <v>1052646</v>
      </c>
      <c r="B168">
        <v>11.199999999999999</v>
      </c>
      <c r="C168">
        <v>67.439999999999998</v>
      </c>
      <c r="D168">
        <v>78</v>
      </c>
      <c r="E168">
        <v>36.600000000000001</v>
      </c>
      <c r="F168">
        <f t="shared" si="16"/>
        <v>17.5</v>
      </c>
      <c r="G168">
        <f t="shared" si="17"/>
        <v>49.100000000000001</v>
      </c>
      <c r="H168">
        <v>37.5</v>
      </c>
      <c r="I168">
        <f t="shared" si="18"/>
        <v>21.600000000000001</v>
      </c>
      <c r="J168">
        <f t="shared" si="19"/>
        <v>0.89999999999999858</v>
      </c>
      <c r="Q168">
        <v>14</v>
      </c>
    </row>
    <row r="169" ht="14.25">
      <c r="A169">
        <v>1058950</v>
      </c>
      <c r="B169">
        <v>11.67</v>
      </c>
      <c r="C169">
        <v>67.560000000000002</v>
      </c>
      <c r="D169">
        <v>79</v>
      </c>
      <c r="E169">
        <v>36.600000000000001</v>
      </c>
      <c r="F169">
        <f t="shared" si="16"/>
        <v>17.600000000000001</v>
      </c>
      <c r="G169">
        <f t="shared" si="17"/>
        <v>49.700000000000003</v>
      </c>
      <c r="H169">
        <v>37.5</v>
      </c>
      <c r="I169">
        <f t="shared" si="18"/>
        <v>21.899999999999999</v>
      </c>
      <c r="J169">
        <f t="shared" si="19"/>
        <v>0.89999999999999858</v>
      </c>
      <c r="Q169">
        <v>12.6</v>
      </c>
    </row>
    <row r="170" ht="14.25">
      <c r="A170">
        <v>1065252</v>
      </c>
      <c r="B170">
        <v>13.07</v>
      </c>
      <c r="C170">
        <v>67.689999999999998</v>
      </c>
      <c r="D170">
        <v>80</v>
      </c>
      <c r="E170">
        <v>36.200000000000003</v>
      </c>
      <c r="F170">
        <f t="shared" si="16"/>
        <v>17.800000000000001</v>
      </c>
      <c r="G170">
        <f t="shared" si="17"/>
        <v>50.299999999999997</v>
      </c>
      <c r="H170">
        <v>37.5</v>
      </c>
      <c r="I170">
        <f t="shared" si="18"/>
        <v>22.100000000000001</v>
      </c>
      <c r="J170">
        <f t="shared" si="19"/>
        <v>1.2999999999999972</v>
      </c>
      <c r="Q170">
        <v>11.199999999999999</v>
      </c>
    </row>
    <row r="171" ht="14.25">
      <c r="A171">
        <v>1071555</v>
      </c>
      <c r="B171">
        <v>11.199999999999999</v>
      </c>
      <c r="C171">
        <v>67.799999999999997</v>
      </c>
      <c r="D171">
        <v>79</v>
      </c>
      <c r="E171">
        <v>36.700000000000003</v>
      </c>
      <c r="F171">
        <f t="shared" si="16"/>
        <v>17.899999999999999</v>
      </c>
      <c r="G171">
        <f t="shared" si="17"/>
        <v>49.700000000000003</v>
      </c>
      <c r="H171">
        <v>37.5</v>
      </c>
      <c r="I171">
        <f t="shared" si="18"/>
        <v>21.899999999999999</v>
      </c>
      <c r="J171">
        <f t="shared" si="19"/>
        <v>0.79999999999999716</v>
      </c>
      <c r="Q171">
        <v>12.6</v>
      </c>
    </row>
    <row r="172" ht="14.25">
      <c r="A172">
        <v>1077858</v>
      </c>
      <c r="B172">
        <v>11.199999999999999</v>
      </c>
      <c r="C172">
        <v>67.909999999999997</v>
      </c>
      <c r="D172">
        <v>79</v>
      </c>
      <c r="E172">
        <v>36.700000000000003</v>
      </c>
      <c r="F172">
        <f t="shared" si="16"/>
        <v>18</v>
      </c>
      <c r="G172">
        <f t="shared" si="17"/>
        <v>49.700000000000003</v>
      </c>
      <c r="H172">
        <v>37.5</v>
      </c>
      <c r="I172">
        <f t="shared" si="18"/>
        <v>21.899999999999999</v>
      </c>
      <c r="J172">
        <f t="shared" si="19"/>
        <v>0.79999999999999716</v>
      </c>
      <c r="Q172">
        <v>14</v>
      </c>
    </row>
    <row r="173" ht="14.25">
      <c r="A173">
        <v>1084162</v>
      </c>
      <c r="B173">
        <v>11.199999999999999</v>
      </c>
      <c r="C173">
        <v>68.030000000000001</v>
      </c>
      <c r="D173">
        <v>79</v>
      </c>
      <c r="E173">
        <v>36.700000000000003</v>
      </c>
      <c r="F173">
        <f t="shared" si="16"/>
        <v>18.100000000000001</v>
      </c>
      <c r="G173">
        <f t="shared" si="17"/>
        <v>49.700000000000003</v>
      </c>
      <c r="H173">
        <v>37.5</v>
      </c>
      <c r="I173">
        <f t="shared" si="18"/>
        <v>21.899999999999999</v>
      </c>
      <c r="J173">
        <f t="shared" si="19"/>
        <v>0.79999999999999716</v>
      </c>
      <c r="Q173">
        <v>11.199999999999999</v>
      </c>
    </row>
    <row r="174" ht="14.25">
      <c r="A174">
        <v>1090464</v>
      </c>
      <c r="B174">
        <v>12.6</v>
      </c>
      <c r="C174">
        <v>68.150000000000006</v>
      </c>
      <c r="D174">
        <v>80</v>
      </c>
      <c r="E174">
        <v>36.700000000000003</v>
      </c>
      <c r="F174">
        <f t="shared" si="16"/>
        <v>18.199999999999999</v>
      </c>
      <c r="G174">
        <f t="shared" si="17"/>
        <v>50.299999999999997</v>
      </c>
      <c r="H174">
        <v>37.5</v>
      </c>
      <c r="I174">
        <f t="shared" si="18"/>
        <v>22.100000000000001</v>
      </c>
      <c r="J174">
        <f t="shared" si="19"/>
        <v>0.79999999999999716</v>
      </c>
      <c r="Q174">
        <v>11.199999999999999</v>
      </c>
    </row>
    <row r="175" ht="14.25">
      <c r="A175">
        <v>1096767</v>
      </c>
      <c r="B175">
        <v>12.6</v>
      </c>
      <c r="C175">
        <v>68.280000000000001</v>
      </c>
      <c r="D175">
        <v>80</v>
      </c>
      <c r="E175">
        <v>36.600000000000001</v>
      </c>
      <c r="F175">
        <f t="shared" si="16"/>
        <v>18.300000000000001</v>
      </c>
      <c r="G175">
        <f t="shared" si="17"/>
        <v>50.299999999999997</v>
      </c>
      <c r="H175">
        <v>37.5</v>
      </c>
      <c r="I175">
        <f t="shared" si="18"/>
        <v>22.100000000000001</v>
      </c>
      <c r="J175">
        <f t="shared" si="19"/>
        <v>0.89999999999999858</v>
      </c>
      <c r="Q175">
        <v>12.6</v>
      </c>
    </row>
    <row r="176" ht="14.25">
      <c r="A176">
        <v>1103071</v>
      </c>
      <c r="B176">
        <v>13.07</v>
      </c>
      <c r="C176">
        <v>68.409999999999997</v>
      </c>
      <c r="D176">
        <v>81</v>
      </c>
      <c r="E176">
        <v>36.700000000000003</v>
      </c>
      <c r="F176">
        <f t="shared" si="16"/>
        <v>18.399999999999999</v>
      </c>
      <c r="G176">
        <f t="shared" si="17"/>
        <v>50.899999999999999</v>
      </c>
      <c r="H176">
        <v>37.5</v>
      </c>
      <c r="I176">
        <f t="shared" si="18"/>
        <v>22.399999999999999</v>
      </c>
      <c r="J176">
        <f t="shared" si="19"/>
        <v>0.79999999999999716</v>
      </c>
      <c r="Q176">
        <v>12.6</v>
      </c>
    </row>
    <row r="177" ht="14.25">
      <c r="A177">
        <v>1109374</v>
      </c>
      <c r="B177">
        <v>12.130000000000001</v>
      </c>
      <c r="C177">
        <v>68.530000000000001</v>
      </c>
      <c r="D177">
        <v>80</v>
      </c>
      <c r="E177">
        <v>36.799999999999997</v>
      </c>
      <c r="F177">
        <f t="shared" si="16"/>
        <v>18.5</v>
      </c>
      <c r="G177">
        <f t="shared" si="17"/>
        <v>50.299999999999997</v>
      </c>
      <c r="H177">
        <v>37.5</v>
      </c>
      <c r="I177">
        <f t="shared" si="18"/>
        <v>22.100000000000001</v>
      </c>
      <c r="J177">
        <f t="shared" si="19"/>
        <v>0.70000000000000284</v>
      </c>
      <c r="Q177">
        <v>14</v>
      </c>
    </row>
    <row r="178" ht="14.25">
      <c r="A178">
        <v>1115678</v>
      </c>
      <c r="B178">
        <v>13.07</v>
      </c>
      <c r="C178">
        <v>68.659999999999997</v>
      </c>
      <c r="D178">
        <v>81</v>
      </c>
      <c r="E178">
        <v>36.399999999999999</v>
      </c>
      <c r="F178">
        <f t="shared" si="16"/>
        <v>18.600000000000001</v>
      </c>
      <c r="G178">
        <f t="shared" si="17"/>
        <v>50.899999999999999</v>
      </c>
      <c r="H178">
        <v>37.5</v>
      </c>
      <c r="I178">
        <f t="shared" si="18"/>
        <v>22.399999999999999</v>
      </c>
      <c r="J178">
        <f t="shared" si="19"/>
        <v>1.1000000000000014</v>
      </c>
      <c r="Q178">
        <v>12.6</v>
      </c>
    </row>
    <row r="179" ht="14.25">
      <c r="A179">
        <v>1121982</v>
      </c>
      <c r="B179">
        <v>13.07</v>
      </c>
      <c r="C179">
        <v>68.790000000000006</v>
      </c>
      <c r="D179">
        <v>81</v>
      </c>
      <c r="E179">
        <v>36.600000000000001</v>
      </c>
      <c r="F179">
        <f t="shared" si="16"/>
        <v>18.699999999999999</v>
      </c>
      <c r="G179">
        <f t="shared" si="17"/>
        <v>50.899999999999999</v>
      </c>
      <c r="H179">
        <v>37.5</v>
      </c>
      <c r="I179">
        <f t="shared" si="18"/>
        <v>22.399999999999999</v>
      </c>
      <c r="J179">
        <f t="shared" si="19"/>
        <v>0.89999999999999858</v>
      </c>
      <c r="Q179">
        <v>14</v>
      </c>
    </row>
    <row r="180" ht="14.25">
      <c r="A180">
        <v>1128286</v>
      </c>
      <c r="B180">
        <v>12.6</v>
      </c>
      <c r="C180">
        <v>68.920000000000002</v>
      </c>
      <c r="D180">
        <v>81</v>
      </c>
      <c r="E180">
        <v>36.600000000000001</v>
      </c>
      <c r="F180">
        <f t="shared" si="16"/>
        <v>18.800000000000001</v>
      </c>
      <c r="G180">
        <f t="shared" si="17"/>
        <v>50.899999999999999</v>
      </c>
      <c r="H180">
        <v>37.5</v>
      </c>
      <c r="I180">
        <f t="shared" si="18"/>
        <v>22.399999999999999</v>
      </c>
      <c r="J180">
        <f t="shared" si="19"/>
        <v>0.89999999999999858</v>
      </c>
      <c r="Q180">
        <v>15.4</v>
      </c>
    </row>
    <row r="181" ht="14.25">
      <c r="A181">
        <v>1134588</v>
      </c>
      <c r="B181">
        <v>12.6</v>
      </c>
      <c r="C181">
        <v>69.040000000000006</v>
      </c>
      <c r="D181">
        <v>81</v>
      </c>
      <c r="E181">
        <v>36.600000000000001</v>
      </c>
      <c r="F181">
        <f t="shared" si="16"/>
        <v>18.899999999999999</v>
      </c>
      <c r="G181">
        <f t="shared" si="17"/>
        <v>50.899999999999999</v>
      </c>
      <c r="H181">
        <v>37.5</v>
      </c>
      <c r="I181">
        <f t="shared" si="18"/>
        <v>22.399999999999999</v>
      </c>
      <c r="J181">
        <f t="shared" si="19"/>
        <v>0.89999999999999858</v>
      </c>
      <c r="Q181">
        <v>14</v>
      </c>
    </row>
    <row r="182" ht="14.25">
      <c r="A182">
        <v>1140891</v>
      </c>
      <c r="B182">
        <v>12.6</v>
      </c>
      <c r="C182">
        <v>69.170000000000002</v>
      </c>
      <c r="D182">
        <v>81</v>
      </c>
      <c r="E182">
        <v>36.600000000000001</v>
      </c>
      <c r="F182">
        <f t="shared" si="16"/>
        <v>19</v>
      </c>
      <c r="G182">
        <f t="shared" si="17"/>
        <v>50.899999999999999</v>
      </c>
      <c r="H182">
        <v>37.5</v>
      </c>
      <c r="I182">
        <f t="shared" si="18"/>
        <v>22.399999999999999</v>
      </c>
      <c r="J182">
        <f t="shared" si="19"/>
        <v>0.89999999999999858</v>
      </c>
      <c r="Q182">
        <v>14</v>
      </c>
    </row>
    <row r="183" ht="14.25">
      <c r="A183">
        <v>1147194</v>
      </c>
      <c r="B183">
        <v>14</v>
      </c>
      <c r="C183">
        <v>69.310000000000002</v>
      </c>
      <c r="D183">
        <v>83</v>
      </c>
      <c r="E183">
        <v>36.700000000000003</v>
      </c>
      <c r="F183">
        <f t="shared" si="16"/>
        <v>19.100000000000001</v>
      </c>
      <c r="G183">
        <f t="shared" si="17"/>
        <v>52.200000000000003</v>
      </c>
      <c r="H183">
        <v>37.5</v>
      </c>
      <c r="I183">
        <f t="shared" si="18"/>
        <v>23</v>
      </c>
      <c r="J183">
        <f t="shared" si="19"/>
        <v>0.79999999999999716</v>
      </c>
      <c r="Q183">
        <v>12.6</v>
      </c>
    </row>
    <row r="184" ht="14.25">
      <c r="A184">
        <v>1153498</v>
      </c>
      <c r="B184">
        <v>12.6</v>
      </c>
      <c r="C184">
        <v>69.439999999999998</v>
      </c>
      <c r="D184">
        <v>82</v>
      </c>
      <c r="E184">
        <v>36.799999999999997</v>
      </c>
      <c r="F184">
        <f t="shared" si="16"/>
        <v>19.199999999999999</v>
      </c>
      <c r="G184">
        <f t="shared" si="17"/>
        <v>51.600000000000001</v>
      </c>
      <c r="H184">
        <v>37.5</v>
      </c>
      <c r="I184">
        <f t="shared" si="18"/>
        <v>22.699999999999999</v>
      </c>
      <c r="J184">
        <f t="shared" si="19"/>
        <v>0.70000000000000284</v>
      </c>
      <c r="Q184">
        <v>11.199999999999999</v>
      </c>
    </row>
    <row r="185" ht="14.25">
      <c r="A185">
        <v>1159800</v>
      </c>
      <c r="B185">
        <v>13.07</v>
      </c>
      <c r="C185">
        <v>69.569999999999993</v>
      </c>
      <c r="D185">
        <v>82</v>
      </c>
      <c r="E185">
        <v>36.600000000000001</v>
      </c>
      <c r="F185">
        <f t="shared" si="16"/>
        <v>19.300000000000001</v>
      </c>
      <c r="G185">
        <f t="shared" si="17"/>
        <v>51.600000000000001</v>
      </c>
      <c r="H185">
        <v>37.5</v>
      </c>
      <c r="I185">
        <f t="shared" si="18"/>
        <v>22.699999999999999</v>
      </c>
      <c r="J185">
        <f t="shared" si="19"/>
        <v>0.89999999999999858</v>
      </c>
      <c r="Q185">
        <v>12.6</v>
      </c>
    </row>
    <row r="186" ht="14.25">
      <c r="A186">
        <v>1166102</v>
      </c>
      <c r="B186">
        <v>13.07</v>
      </c>
      <c r="C186">
        <v>69.700000000000003</v>
      </c>
      <c r="D186">
        <v>82</v>
      </c>
      <c r="E186">
        <v>36.5</v>
      </c>
      <c r="F186">
        <f t="shared" si="16"/>
        <v>19.399999999999999</v>
      </c>
      <c r="G186">
        <f t="shared" si="17"/>
        <v>51.600000000000001</v>
      </c>
      <c r="H186">
        <v>37.5</v>
      </c>
      <c r="I186">
        <f t="shared" si="18"/>
        <v>22.699999999999999</v>
      </c>
      <c r="J186">
        <f t="shared" si="19"/>
        <v>1</v>
      </c>
      <c r="Q186">
        <v>14</v>
      </c>
    </row>
    <row r="187" ht="14.25">
      <c r="A187">
        <v>1172406</v>
      </c>
      <c r="B187">
        <v>12.130000000000001</v>
      </c>
      <c r="C187">
        <v>69.819999999999993</v>
      </c>
      <c r="D187">
        <v>81</v>
      </c>
      <c r="E187">
        <v>36.600000000000001</v>
      </c>
      <c r="F187">
        <f t="shared" si="16"/>
        <v>19.5</v>
      </c>
      <c r="G187">
        <f t="shared" si="17"/>
        <v>50.899999999999999</v>
      </c>
      <c r="H187">
        <v>37.5</v>
      </c>
      <c r="I187">
        <f t="shared" si="18"/>
        <v>22.399999999999999</v>
      </c>
      <c r="J187">
        <f t="shared" si="19"/>
        <v>0.89999999999999858</v>
      </c>
      <c r="Q187">
        <v>12.6</v>
      </c>
    </row>
    <row r="188" ht="14.25">
      <c r="A188">
        <v>1178710</v>
      </c>
      <c r="B188">
        <v>12.6</v>
      </c>
      <c r="C188">
        <v>69.939999999999998</v>
      </c>
      <c r="D188">
        <v>82</v>
      </c>
      <c r="E188">
        <v>36.600000000000001</v>
      </c>
      <c r="F188">
        <f t="shared" si="16"/>
        <v>19.600000000000001</v>
      </c>
      <c r="G188">
        <f t="shared" si="17"/>
        <v>51.600000000000001</v>
      </c>
      <c r="H188">
        <v>37.5</v>
      </c>
      <c r="I188">
        <f t="shared" si="18"/>
        <v>22.699999999999999</v>
      </c>
      <c r="J188">
        <f t="shared" si="19"/>
        <v>0.89999999999999858</v>
      </c>
      <c r="Q188">
        <v>12.6</v>
      </c>
    </row>
    <row r="189" ht="14.25">
      <c r="A189">
        <v>1185012</v>
      </c>
      <c r="B189">
        <v>11.199999999999999</v>
      </c>
      <c r="C189">
        <v>70.060000000000002</v>
      </c>
      <c r="D189">
        <v>81</v>
      </c>
      <c r="E189">
        <v>36.700000000000003</v>
      </c>
      <c r="F189">
        <f t="shared" si="16"/>
        <v>19.800000000000001</v>
      </c>
      <c r="G189">
        <f t="shared" si="17"/>
        <v>50.899999999999999</v>
      </c>
      <c r="H189">
        <v>37.5</v>
      </c>
      <c r="I189">
        <f t="shared" si="18"/>
        <v>22.399999999999999</v>
      </c>
      <c r="J189">
        <f t="shared" si="19"/>
        <v>0.79999999999999716</v>
      </c>
      <c r="Q189">
        <v>14</v>
      </c>
    </row>
    <row r="190" ht="14.25">
      <c r="A190">
        <v>1191316</v>
      </c>
      <c r="B190">
        <v>12.6</v>
      </c>
      <c r="C190">
        <v>70.180000000000007</v>
      </c>
      <c r="D190">
        <v>82</v>
      </c>
      <c r="E190">
        <v>36.700000000000003</v>
      </c>
      <c r="F190">
        <f t="shared" si="16"/>
        <v>19.899999999999999</v>
      </c>
      <c r="G190">
        <f t="shared" si="17"/>
        <v>51.600000000000001</v>
      </c>
      <c r="H190">
        <v>37.5</v>
      </c>
      <c r="I190">
        <f t="shared" si="18"/>
        <v>22.699999999999999</v>
      </c>
      <c r="J190">
        <f t="shared" si="19"/>
        <v>0.79999999999999716</v>
      </c>
      <c r="Q190">
        <v>12.6</v>
      </c>
    </row>
    <row r="191" ht="14.25">
      <c r="A191">
        <v>1197620</v>
      </c>
      <c r="B191">
        <v>13.529999999999999</v>
      </c>
      <c r="C191">
        <v>70.319999999999993</v>
      </c>
      <c r="D191">
        <v>83</v>
      </c>
      <c r="E191">
        <v>36.600000000000001</v>
      </c>
      <c r="F191">
        <f t="shared" si="16"/>
        <v>20</v>
      </c>
      <c r="G191">
        <f t="shared" si="17"/>
        <v>52.200000000000003</v>
      </c>
      <c r="H191">
        <v>37.5</v>
      </c>
      <c r="I191">
        <f t="shared" si="18"/>
        <v>23</v>
      </c>
      <c r="J191">
        <f t="shared" si="19"/>
        <v>0.89999999999999858</v>
      </c>
      <c r="Q191">
        <v>11.199999999999999</v>
      </c>
    </row>
    <row r="192" ht="14.25">
      <c r="A192">
        <v>1203923</v>
      </c>
      <c r="B192">
        <v>14</v>
      </c>
      <c r="C192">
        <v>70.459999999999994</v>
      </c>
      <c r="D192">
        <v>84</v>
      </c>
      <c r="E192">
        <v>36.700000000000003</v>
      </c>
      <c r="F192">
        <f t="shared" si="16"/>
        <v>20.100000000000001</v>
      </c>
      <c r="G192">
        <f t="shared" si="17"/>
        <v>52.799999999999997</v>
      </c>
      <c r="H192">
        <v>37.5</v>
      </c>
      <c r="I192">
        <f t="shared" si="18"/>
        <v>23.199999999999999</v>
      </c>
      <c r="J192">
        <f t="shared" si="19"/>
        <v>0.79999999999999716</v>
      </c>
      <c r="Q192">
        <v>11.199999999999999</v>
      </c>
    </row>
    <row r="193" ht="14.25">
      <c r="A193">
        <v>1210227</v>
      </c>
      <c r="B193">
        <v>14.470000000000001</v>
      </c>
      <c r="C193">
        <v>70.599999999999994</v>
      </c>
      <c r="D193">
        <v>85</v>
      </c>
      <c r="E193">
        <v>36.100000000000001</v>
      </c>
      <c r="F193">
        <f t="shared" si="16"/>
        <v>20.199999999999999</v>
      </c>
      <c r="G193">
        <f t="shared" si="17"/>
        <v>53.5</v>
      </c>
      <c r="H193">
        <v>37.5</v>
      </c>
      <c r="I193">
        <f t="shared" si="18"/>
        <v>23.5</v>
      </c>
      <c r="J193">
        <f t="shared" si="19"/>
        <v>1.3999999999999986</v>
      </c>
      <c r="Q193">
        <v>11.199999999999999</v>
      </c>
    </row>
    <row r="194" ht="14.25">
      <c r="A194">
        <v>1216529</v>
      </c>
      <c r="B194">
        <v>10.73</v>
      </c>
      <c r="C194">
        <v>70.709999999999994</v>
      </c>
      <c r="D194">
        <v>81</v>
      </c>
      <c r="E194">
        <v>36.799999999999997</v>
      </c>
      <c r="F194">
        <f t="shared" si="16"/>
        <v>20.300000000000001</v>
      </c>
      <c r="G194">
        <f t="shared" si="17"/>
        <v>50.899999999999999</v>
      </c>
      <c r="H194">
        <v>37.5</v>
      </c>
      <c r="I194">
        <f t="shared" si="18"/>
        <v>22.399999999999999</v>
      </c>
      <c r="J194">
        <f t="shared" si="19"/>
        <v>0.70000000000000284</v>
      </c>
      <c r="Q194">
        <v>11.199999999999999</v>
      </c>
    </row>
    <row r="195" ht="14.25">
      <c r="A195">
        <v>1222834</v>
      </c>
      <c r="B195">
        <v>11.67</v>
      </c>
      <c r="C195">
        <v>70.829999999999998</v>
      </c>
      <c r="D195">
        <v>82</v>
      </c>
      <c r="E195">
        <v>36.700000000000003</v>
      </c>
      <c r="F195">
        <f t="shared" si="16"/>
        <v>20.399999999999999</v>
      </c>
      <c r="G195">
        <f t="shared" si="17"/>
        <v>51.600000000000001</v>
      </c>
      <c r="H195">
        <v>37.5</v>
      </c>
      <c r="I195">
        <f t="shared" si="18"/>
        <v>22.699999999999999</v>
      </c>
      <c r="J195">
        <f t="shared" si="19"/>
        <v>0.79999999999999716</v>
      </c>
      <c r="Q195">
        <v>11.199999999999999</v>
      </c>
    </row>
    <row r="196" ht="14.25">
      <c r="A196">
        <v>1229135</v>
      </c>
      <c r="B196">
        <v>12.6</v>
      </c>
      <c r="C196">
        <v>70.950000000000003</v>
      </c>
      <c r="D196">
        <v>83</v>
      </c>
      <c r="E196">
        <v>36.600000000000001</v>
      </c>
      <c r="F196">
        <f t="shared" si="16"/>
        <v>20.5</v>
      </c>
      <c r="G196">
        <f t="shared" si="17"/>
        <v>52.200000000000003</v>
      </c>
      <c r="H196">
        <v>37.5</v>
      </c>
      <c r="I196">
        <f t="shared" si="18"/>
        <v>23</v>
      </c>
      <c r="J196">
        <f t="shared" si="19"/>
        <v>0.89999999999999858</v>
      </c>
      <c r="Q196">
        <v>9.8000000000000007</v>
      </c>
    </row>
    <row r="197" ht="14.25">
      <c r="A197">
        <v>1235438</v>
      </c>
      <c r="B197">
        <v>12.6</v>
      </c>
      <c r="C197">
        <v>71.079999999999998</v>
      </c>
      <c r="D197">
        <v>83</v>
      </c>
      <c r="E197">
        <v>36.600000000000001</v>
      </c>
      <c r="F197">
        <f t="shared" si="16"/>
        <v>20.600000000000001</v>
      </c>
      <c r="G197">
        <f t="shared" si="17"/>
        <v>52.200000000000003</v>
      </c>
      <c r="H197">
        <v>37.5</v>
      </c>
      <c r="I197">
        <f t="shared" si="18"/>
        <v>23</v>
      </c>
      <c r="J197">
        <f t="shared" si="19"/>
        <v>0.89999999999999858</v>
      </c>
      <c r="Q197">
        <v>9.8000000000000007</v>
      </c>
    </row>
    <row r="198" ht="14.25">
      <c r="A198">
        <v>1241741</v>
      </c>
      <c r="B198">
        <v>13.07</v>
      </c>
      <c r="C198">
        <v>71.209999999999994</v>
      </c>
      <c r="D198">
        <v>84</v>
      </c>
      <c r="E198">
        <v>36.600000000000001</v>
      </c>
      <c r="F198">
        <f t="shared" si="16"/>
        <v>20.699999999999999</v>
      </c>
      <c r="G198">
        <f t="shared" si="17"/>
        <v>52.799999999999997</v>
      </c>
      <c r="H198">
        <v>37.5</v>
      </c>
      <c r="I198">
        <f t="shared" si="18"/>
        <v>23.199999999999999</v>
      </c>
      <c r="J198">
        <f t="shared" si="19"/>
        <v>0.89999999999999858</v>
      </c>
      <c r="Q198">
        <v>9.8000000000000007</v>
      </c>
    </row>
    <row r="199" ht="14.25">
      <c r="A199">
        <v>1248046</v>
      </c>
      <c r="B199">
        <v>12.6</v>
      </c>
      <c r="C199">
        <v>71.329999999999998</v>
      </c>
      <c r="D199">
        <v>83</v>
      </c>
      <c r="E199">
        <v>36.5</v>
      </c>
      <c r="F199">
        <f t="shared" si="16"/>
        <v>20.800000000000001</v>
      </c>
      <c r="G199">
        <f t="shared" si="17"/>
        <v>52.200000000000003</v>
      </c>
      <c r="H199">
        <v>37.5</v>
      </c>
      <c r="I199">
        <f t="shared" si="18"/>
        <v>23</v>
      </c>
      <c r="J199">
        <f t="shared" si="19"/>
        <v>1</v>
      </c>
      <c r="Q199">
        <v>9.8000000000000007</v>
      </c>
    </row>
    <row r="200" ht="14.25">
      <c r="A200">
        <v>1254347</v>
      </c>
      <c r="B200">
        <v>11.199999999999999</v>
      </c>
      <c r="C200">
        <v>71.450000000000003</v>
      </c>
      <c r="D200">
        <v>82</v>
      </c>
      <c r="E200">
        <v>36.799999999999997</v>
      </c>
      <c r="F200">
        <f t="shared" si="16"/>
        <v>20.899999999999999</v>
      </c>
      <c r="G200">
        <f t="shared" si="17"/>
        <v>51.600000000000001</v>
      </c>
      <c r="H200">
        <v>37.5</v>
      </c>
      <c r="I200">
        <f t="shared" si="18"/>
        <v>22.699999999999999</v>
      </c>
      <c r="J200">
        <f t="shared" si="19"/>
        <v>0.70000000000000284</v>
      </c>
      <c r="Q200">
        <v>9.8000000000000007</v>
      </c>
    </row>
    <row r="201" ht="14.25">
      <c r="A201">
        <v>1260651</v>
      </c>
      <c r="B201">
        <v>12.6</v>
      </c>
      <c r="C201">
        <v>71.569999999999993</v>
      </c>
      <c r="D201">
        <v>84</v>
      </c>
      <c r="E201">
        <v>36.5</v>
      </c>
      <c r="F201">
        <f t="shared" si="16"/>
        <v>21</v>
      </c>
      <c r="G201">
        <f t="shared" si="17"/>
        <v>52.799999999999997</v>
      </c>
      <c r="H201">
        <v>37.5</v>
      </c>
      <c r="I201">
        <f t="shared" si="18"/>
        <v>23.199999999999999</v>
      </c>
      <c r="J201">
        <f t="shared" si="19"/>
        <v>1</v>
      </c>
      <c r="Q201">
        <v>11.199999999999999</v>
      </c>
    </row>
    <row r="202" ht="14.25">
      <c r="A202">
        <v>1266954</v>
      </c>
      <c r="B202">
        <v>11.67</v>
      </c>
      <c r="C202">
        <v>71.689999999999998</v>
      </c>
      <c r="D202">
        <v>83</v>
      </c>
      <c r="E202">
        <v>36.700000000000003</v>
      </c>
      <c r="F202">
        <f t="shared" si="16"/>
        <v>21.100000000000001</v>
      </c>
      <c r="G202">
        <f t="shared" si="17"/>
        <v>52.200000000000003</v>
      </c>
      <c r="H202">
        <v>37.5</v>
      </c>
      <c r="I202">
        <f t="shared" si="18"/>
        <v>23</v>
      </c>
      <c r="J202">
        <f t="shared" si="19"/>
        <v>0.79999999999999716</v>
      </c>
      <c r="Q202">
        <v>11.199999999999999</v>
      </c>
    </row>
    <row r="203" ht="14.25">
      <c r="A203">
        <v>1273257</v>
      </c>
      <c r="B203">
        <v>12.6</v>
      </c>
      <c r="C203">
        <v>71.819999999999993</v>
      </c>
      <c r="D203">
        <v>84</v>
      </c>
      <c r="E203">
        <v>36.5</v>
      </c>
      <c r="F203">
        <f t="shared" si="16"/>
        <v>21.199999999999999</v>
      </c>
      <c r="G203">
        <f t="shared" si="17"/>
        <v>52.799999999999997</v>
      </c>
      <c r="H203">
        <v>37.5</v>
      </c>
      <c r="I203">
        <f t="shared" si="18"/>
        <v>23.199999999999999</v>
      </c>
      <c r="J203">
        <f t="shared" si="19"/>
        <v>1</v>
      </c>
      <c r="Q203">
        <v>9.8000000000000007</v>
      </c>
    </row>
    <row r="204" ht="14.25">
      <c r="A204">
        <v>1279561</v>
      </c>
      <c r="B204">
        <v>10.27</v>
      </c>
      <c r="C204">
        <v>71.920000000000002</v>
      </c>
      <c r="D204">
        <v>82</v>
      </c>
      <c r="E204">
        <v>36.799999999999997</v>
      </c>
      <c r="F204">
        <f t="shared" si="16"/>
        <v>21.300000000000001</v>
      </c>
      <c r="G204">
        <f t="shared" si="17"/>
        <v>51.600000000000001</v>
      </c>
      <c r="H204">
        <v>37.5</v>
      </c>
      <c r="I204">
        <f t="shared" si="18"/>
        <v>22.699999999999999</v>
      </c>
      <c r="J204">
        <f t="shared" si="19"/>
        <v>0.70000000000000284</v>
      </c>
      <c r="Q204">
        <v>9.8000000000000007</v>
      </c>
    </row>
    <row r="205" ht="14.25">
      <c r="A205">
        <v>1285865</v>
      </c>
      <c r="B205">
        <v>9.3300000000000001</v>
      </c>
      <c r="C205">
        <v>72.010000000000005</v>
      </c>
      <c r="D205">
        <v>81</v>
      </c>
      <c r="E205">
        <v>36.700000000000003</v>
      </c>
      <c r="F205">
        <f t="shared" si="16"/>
        <v>21.399999999999999</v>
      </c>
      <c r="G205">
        <f t="shared" si="17"/>
        <v>50.899999999999999</v>
      </c>
      <c r="H205">
        <v>37.5</v>
      </c>
      <c r="I205">
        <f t="shared" si="18"/>
        <v>22.399999999999999</v>
      </c>
      <c r="J205">
        <f t="shared" si="19"/>
        <v>0.79999999999999716</v>
      </c>
      <c r="Q205">
        <v>8.4000000000000004</v>
      </c>
    </row>
    <row r="206" ht="14.25">
      <c r="A206">
        <v>1292169</v>
      </c>
      <c r="B206">
        <v>11.199999999999999</v>
      </c>
      <c r="C206">
        <v>72.120000000000005</v>
      </c>
      <c r="D206">
        <v>83</v>
      </c>
      <c r="E206">
        <v>36.799999999999997</v>
      </c>
      <c r="F206">
        <f t="shared" si="16"/>
        <v>21.5</v>
      </c>
      <c r="G206">
        <f t="shared" si="17"/>
        <v>52.200000000000003</v>
      </c>
      <c r="H206">
        <v>37.5</v>
      </c>
      <c r="I206">
        <f t="shared" si="18"/>
        <v>23</v>
      </c>
      <c r="J206">
        <f t="shared" si="19"/>
        <v>0.70000000000000284</v>
      </c>
      <c r="Q206">
        <v>7</v>
      </c>
    </row>
    <row r="207" ht="14.25">
      <c r="A207">
        <v>1298472</v>
      </c>
      <c r="B207">
        <v>12.130000000000001</v>
      </c>
      <c r="C207">
        <v>72.239999999999995</v>
      </c>
      <c r="D207">
        <v>84</v>
      </c>
      <c r="E207">
        <v>36.700000000000003</v>
      </c>
      <c r="F207">
        <f t="shared" si="16"/>
        <v>21.600000000000001</v>
      </c>
      <c r="G207">
        <f t="shared" si="17"/>
        <v>52.799999999999997</v>
      </c>
      <c r="H207">
        <v>37.5</v>
      </c>
      <c r="I207">
        <f t="shared" si="18"/>
        <v>23.199999999999999</v>
      </c>
      <c r="J207">
        <f t="shared" si="19"/>
        <v>0.79999999999999716</v>
      </c>
      <c r="Q207">
        <v>9.8000000000000007</v>
      </c>
    </row>
    <row r="208" ht="14.25">
      <c r="A208">
        <v>1304775</v>
      </c>
      <c r="B208">
        <v>12.6</v>
      </c>
      <c r="C208">
        <v>72.370000000000005</v>
      </c>
      <c r="D208">
        <v>84</v>
      </c>
      <c r="E208">
        <v>36.600000000000001</v>
      </c>
      <c r="F208">
        <f t="shared" si="16"/>
        <v>21.699999999999999</v>
      </c>
      <c r="G208">
        <f t="shared" si="17"/>
        <v>52.799999999999997</v>
      </c>
      <c r="H208">
        <v>37.5</v>
      </c>
      <c r="I208">
        <f t="shared" si="18"/>
        <v>23.199999999999999</v>
      </c>
      <c r="J208">
        <f t="shared" si="19"/>
        <v>0.89999999999999858</v>
      </c>
      <c r="Q208">
        <v>9.8000000000000007</v>
      </c>
    </row>
    <row r="209" ht="14.25">
      <c r="A209">
        <v>1311078</v>
      </c>
      <c r="B209">
        <v>10.73</v>
      </c>
      <c r="C209">
        <v>72.480000000000004</v>
      </c>
      <c r="D209">
        <v>83</v>
      </c>
      <c r="E209">
        <v>36.799999999999997</v>
      </c>
      <c r="F209">
        <f t="shared" si="16"/>
        <v>21.899999999999999</v>
      </c>
      <c r="G209">
        <f t="shared" si="17"/>
        <v>52.200000000000003</v>
      </c>
      <c r="H209">
        <v>37.5</v>
      </c>
      <c r="I209">
        <f t="shared" si="18"/>
        <v>23</v>
      </c>
      <c r="J209">
        <f t="shared" si="19"/>
        <v>0.70000000000000284</v>
      </c>
      <c r="Q209">
        <v>7</v>
      </c>
    </row>
    <row r="210" ht="14.25">
      <c r="A210">
        <v>1317382</v>
      </c>
      <c r="B210">
        <v>9.8000000000000007</v>
      </c>
      <c r="C210">
        <v>72.579999999999998</v>
      </c>
      <c r="D210">
        <v>82</v>
      </c>
      <c r="E210">
        <v>36.700000000000003</v>
      </c>
      <c r="F210">
        <f t="shared" si="16"/>
        <v>22</v>
      </c>
      <c r="G210">
        <f t="shared" si="17"/>
        <v>51.600000000000001</v>
      </c>
      <c r="H210">
        <v>37.5</v>
      </c>
      <c r="I210">
        <f t="shared" si="18"/>
        <v>22.699999999999999</v>
      </c>
      <c r="J210">
        <f t="shared" si="19"/>
        <v>0.79999999999999716</v>
      </c>
      <c r="Q210">
        <v>7</v>
      </c>
    </row>
    <row r="211" ht="14.25">
      <c r="A211">
        <v>1323684</v>
      </c>
      <c r="B211">
        <v>11.199999999999999</v>
      </c>
      <c r="C211">
        <v>72.689999999999998</v>
      </c>
      <c r="D211">
        <v>83</v>
      </c>
      <c r="E211">
        <v>36.5</v>
      </c>
      <c r="F211">
        <f t="shared" si="16"/>
        <v>22.100000000000001</v>
      </c>
      <c r="G211">
        <f t="shared" si="17"/>
        <v>52.200000000000003</v>
      </c>
      <c r="H211">
        <v>37.5</v>
      </c>
      <c r="I211">
        <f t="shared" si="18"/>
        <v>23</v>
      </c>
      <c r="J211">
        <f t="shared" si="19"/>
        <v>1</v>
      </c>
      <c r="Q211">
        <v>8.4000000000000004</v>
      </c>
    </row>
    <row r="212" ht="14.25">
      <c r="A212">
        <v>1329987</v>
      </c>
      <c r="B212">
        <v>9.3300000000000001</v>
      </c>
      <c r="C212">
        <v>72.780000000000001</v>
      </c>
      <c r="D212">
        <v>82</v>
      </c>
      <c r="E212">
        <v>36.799999999999997</v>
      </c>
      <c r="F212">
        <f t="shared" si="16"/>
        <v>22.199999999999999</v>
      </c>
      <c r="G212">
        <f t="shared" si="17"/>
        <v>51.600000000000001</v>
      </c>
      <c r="H212">
        <v>37.5</v>
      </c>
      <c r="I212">
        <f t="shared" si="18"/>
        <v>22.699999999999999</v>
      </c>
      <c r="J212">
        <f t="shared" si="19"/>
        <v>0.70000000000000284</v>
      </c>
      <c r="Q212">
        <v>7</v>
      </c>
    </row>
    <row r="213" ht="14.25">
      <c r="A213">
        <v>1336290</v>
      </c>
      <c r="B213">
        <v>10.73</v>
      </c>
      <c r="C213">
        <v>72.890000000000001</v>
      </c>
      <c r="D213">
        <v>83</v>
      </c>
      <c r="E213">
        <v>36.600000000000001</v>
      </c>
      <c r="F213">
        <f t="shared" si="16"/>
        <v>22.300000000000001</v>
      </c>
      <c r="G213">
        <f t="shared" si="17"/>
        <v>52.200000000000003</v>
      </c>
      <c r="H213">
        <v>37.5</v>
      </c>
      <c r="I213">
        <f t="shared" si="18"/>
        <v>23</v>
      </c>
      <c r="J213">
        <f t="shared" si="19"/>
        <v>0.89999999999999858</v>
      </c>
      <c r="Q213">
        <v>7</v>
      </c>
    </row>
    <row r="214" ht="14.25">
      <c r="A214">
        <v>1342594</v>
      </c>
      <c r="B214">
        <v>9.3300000000000001</v>
      </c>
      <c r="C214">
        <v>72.980000000000004</v>
      </c>
      <c r="D214">
        <v>82</v>
      </c>
      <c r="E214">
        <v>36.799999999999997</v>
      </c>
      <c r="F214">
        <f t="shared" si="16"/>
        <v>22.399999999999999</v>
      </c>
      <c r="G214">
        <f t="shared" si="17"/>
        <v>51.600000000000001</v>
      </c>
      <c r="H214">
        <v>37.5</v>
      </c>
      <c r="I214">
        <f t="shared" si="18"/>
        <v>22.699999999999999</v>
      </c>
      <c r="J214">
        <f t="shared" si="19"/>
        <v>0.70000000000000284</v>
      </c>
      <c r="Q214">
        <v>8.4000000000000004</v>
      </c>
    </row>
    <row r="215" ht="14.25">
      <c r="A215">
        <v>1348896</v>
      </c>
      <c r="B215">
        <v>10.27</v>
      </c>
      <c r="C215">
        <v>73.079999999999998</v>
      </c>
      <c r="D215">
        <v>83</v>
      </c>
      <c r="E215">
        <v>36.799999999999997</v>
      </c>
      <c r="F215">
        <f t="shared" si="16"/>
        <v>22.5</v>
      </c>
      <c r="G215">
        <f t="shared" si="17"/>
        <v>52.200000000000003</v>
      </c>
      <c r="H215">
        <v>37.5</v>
      </c>
      <c r="I215">
        <f t="shared" si="18"/>
        <v>23</v>
      </c>
      <c r="J215">
        <f t="shared" si="19"/>
        <v>0.70000000000000284</v>
      </c>
      <c r="Q215">
        <v>4.2000000000000002</v>
      </c>
    </row>
    <row r="216" ht="14.25">
      <c r="A216">
        <v>1355199</v>
      </c>
      <c r="B216">
        <v>9.3300000000000001</v>
      </c>
      <c r="C216">
        <v>73.180000000000007</v>
      </c>
      <c r="D216">
        <v>82</v>
      </c>
      <c r="E216">
        <v>36.899999999999999</v>
      </c>
      <c r="F216">
        <f t="shared" si="16"/>
        <v>22.600000000000001</v>
      </c>
      <c r="G216">
        <f t="shared" si="17"/>
        <v>51.600000000000001</v>
      </c>
      <c r="H216">
        <v>37.5</v>
      </c>
      <c r="I216">
        <f t="shared" si="18"/>
        <v>22.699999999999999</v>
      </c>
      <c r="J216">
        <f t="shared" si="19"/>
        <v>0.60000000000000142</v>
      </c>
      <c r="Q216">
        <v>5.5999999999999996</v>
      </c>
    </row>
    <row r="217" ht="14.25">
      <c r="A217">
        <v>1361503</v>
      </c>
      <c r="B217">
        <v>10.73</v>
      </c>
      <c r="C217">
        <v>73.290000000000006</v>
      </c>
      <c r="D217">
        <v>84</v>
      </c>
      <c r="E217">
        <v>36.700000000000003</v>
      </c>
      <c r="F217">
        <f t="shared" si="16"/>
        <v>22.699999999999999</v>
      </c>
      <c r="G217">
        <f t="shared" si="17"/>
        <v>52.799999999999997</v>
      </c>
      <c r="H217">
        <v>37.5</v>
      </c>
      <c r="I217">
        <f t="shared" si="18"/>
        <v>23.199999999999999</v>
      </c>
      <c r="J217">
        <f t="shared" si="19"/>
        <v>0.79999999999999716</v>
      </c>
      <c r="Q217">
        <v>4.2000000000000002</v>
      </c>
    </row>
    <row r="218" ht="14.25">
      <c r="A218">
        <v>1367806</v>
      </c>
      <c r="B218">
        <v>8.8699999999999992</v>
      </c>
      <c r="C218">
        <v>73.370000000000005</v>
      </c>
      <c r="D218">
        <v>82</v>
      </c>
      <c r="E218">
        <v>36.899999999999999</v>
      </c>
      <c r="F218">
        <f t="shared" si="16"/>
        <v>22.800000000000001</v>
      </c>
      <c r="G218">
        <f t="shared" si="17"/>
        <v>51.600000000000001</v>
      </c>
      <c r="H218">
        <v>37.5</v>
      </c>
      <c r="I218">
        <f t="shared" si="18"/>
        <v>22.699999999999999</v>
      </c>
      <c r="J218">
        <f t="shared" si="19"/>
        <v>0.60000000000000142</v>
      </c>
      <c r="Q218">
        <v>5.5999999999999996</v>
      </c>
    </row>
    <row r="219" ht="14.25">
      <c r="A219">
        <v>1374110</v>
      </c>
      <c r="B219">
        <v>9.3300000000000001</v>
      </c>
      <c r="C219">
        <v>73.469999999999999</v>
      </c>
      <c r="D219">
        <v>82</v>
      </c>
      <c r="E219">
        <v>36.799999999999997</v>
      </c>
      <c r="F219">
        <f t="shared" si="16"/>
        <v>22.899999999999999</v>
      </c>
      <c r="G219">
        <f t="shared" si="17"/>
        <v>51.600000000000001</v>
      </c>
      <c r="H219">
        <v>37.5</v>
      </c>
      <c r="I219">
        <f t="shared" si="18"/>
        <v>22.699999999999999</v>
      </c>
      <c r="J219">
        <f t="shared" si="19"/>
        <v>0.70000000000000284</v>
      </c>
      <c r="Q219">
        <v>7</v>
      </c>
    </row>
    <row r="220" ht="14.25">
      <c r="A220">
        <v>1380414</v>
      </c>
      <c r="B220">
        <v>11.199999999999999</v>
      </c>
      <c r="C220">
        <v>73.579999999999998</v>
      </c>
      <c r="D220">
        <v>84</v>
      </c>
      <c r="E220">
        <v>36.399999999999999</v>
      </c>
      <c r="F220">
        <f t="shared" si="16"/>
        <v>23</v>
      </c>
      <c r="G220">
        <f t="shared" si="17"/>
        <v>52.799999999999997</v>
      </c>
      <c r="H220">
        <v>37.5</v>
      </c>
      <c r="I220">
        <f t="shared" si="18"/>
        <v>23.199999999999999</v>
      </c>
      <c r="J220">
        <f t="shared" si="19"/>
        <v>1.1000000000000014</v>
      </c>
      <c r="Q220">
        <v>5.5999999999999996</v>
      </c>
    </row>
    <row r="221" ht="14.25">
      <c r="A221">
        <v>1386718</v>
      </c>
      <c r="B221">
        <v>7</v>
      </c>
      <c r="C221">
        <v>73.650000000000006</v>
      </c>
      <c r="D221">
        <v>80</v>
      </c>
      <c r="E221">
        <v>37</v>
      </c>
      <c r="F221">
        <f t="shared" si="16"/>
        <v>23.100000000000001</v>
      </c>
      <c r="G221">
        <f t="shared" si="17"/>
        <v>50.299999999999997</v>
      </c>
      <c r="H221">
        <v>37.5</v>
      </c>
      <c r="I221">
        <f t="shared" si="18"/>
        <v>22.100000000000001</v>
      </c>
      <c r="J221">
        <f t="shared" si="19"/>
        <v>0.5</v>
      </c>
      <c r="Q221">
        <v>5.5999999999999996</v>
      </c>
    </row>
    <row r="222" ht="14.25">
      <c r="A222">
        <v>1393020</v>
      </c>
      <c r="B222">
        <v>8.8699999999999992</v>
      </c>
      <c r="C222">
        <v>73.739999999999995</v>
      </c>
      <c r="D222">
        <v>82</v>
      </c>
      <c r="E222">
        <v>36.899999999999999</v>
      </c>
      <c r="F222">
        <f t="shared" si="16"/>
        <v>23.199999999999999</v>
      </c>
      <c r="G222">
        <f t="shared" si="17"/>
        <v>51.600000000000001</v>
      </c>
      <c r="H222">
        <v>37.5</v>
      </c>
      <c r="I222">
        <f t="shared" si="18"/>
        <v>22.699999999999999</v>
      </c>
      <c r="J222">
        <f t="shared" si="19"/>
        <v>0.60000000000000142</v>
      </c>
      <c r="Q222">
        <v>7</v>
      </c>
    </row>
    <row r="223" ht="14.25">
      <c r="A223">
        <v>1399323</v>
      </c>
      <c r="B223">
        <v>10.27</v>
      </c>
      <c r="C223">
        <v>73.840000000000003</v>
      </c>
      <c r="D223">
        <v>84</v>
      </c>
      <c r="E223">
        <v>36.700000000000003</v>
      </c>
      <c r="F223">
        <f t="shared" si="16"/>
        <v>23.300000000000001</v>
      </c>
      <c r="G223">
        <f t="shared" si="17"/>
        <v>52.799999999999997</v>
      </c>
      <c r="H223">
        <v>37.5</v>
      </c>
      <c r="I223">
        <f t="shared" si="18"/>
        <v>23.199999999999999</v>
      </c>
      <c r="J223">
        <f t="shared" si="19"/>
        <v>0.79999999999999716</v>
      </c>
      <c r="Q223">
        <v>5.5999999999999996</v>
      </c>
    </row>
    <row r="224" ht="14.25">
      <c r="A224">
        <v>1405626</v>
      </c>
      <c r="B224">
        <v>7.9299999999999997</v>
      </c>
      <c r="C224">
        <v>73.920000000000002</v>
      </c>
      <c r="D224">
        <v>81</v>
      </c>
      <c r="E224">
        <v>37</v>
      </c>
      <c r="F224">
        <f t="shared" si="16"/>
        <v>23.399999999999999</v>
      </c>
      <c r="G224">
        <f t="shared" si="17"/>
        <v>50.899999999999999</v>
      </c>
      <c r="H224">
        <v>37.5</v>
      </c>
      <c r="I224">
        <f t="shared" si="18"/>
        <v>22.399999999999999</v>
      </c>
      <c r="J224">
        <f t="shared" si="19"/>
        <v>0.5</v>
      </c>
      <c r="Q224">
        <v>4.2000000000000002</v>
      </c>
    </row>
    <row r="225" ht="14.25">
      <c r="A225">
        <v>1411930</v>
      </c>
      <c r="B225">
        <v>8.4000000000000004</v>
      </c>
      <c r="C225">
        <v>74</v>
      </c>
      <c r="D225">
        <v>82</v>
      </c>
      <c r="E225">
        <v>36.899999999999999</v>
      </c>
      <c r="F225">
        <f t="shared" si="16"/>
        <v>23.5</v>
      </c>
      <c r="G225">
        <f t="shared" si="17"/>
        <v>51.600000000000001</v>
      </c>
      <c r="H225">
        <v>37.5</v>
      </c>
      <c r="I225">
        <f t="shared" si="18"/>
        <v>22.699999999999999</v>
      </c>
      <c r="J225">
        <f t="shared" si="19"/>
        <v>0.60000000000000142</v>
      </c>
      <c r="Q225">
        <v>4.2000000000000002</v>
      </c>
    </row>
    <row r="226" ht="14.25">
      <c r="A226">
        <v>1418231</v>
      </c>
      <c r="B226">
        <v>7</v>
      </c>
      <c r="C226">
        <v>74.069999999999993</v>
      </c>
      <c r="D226">
        <v>81</v>
      </c>
      <c r="E226">
        <v>36.799999999999997</v>
      </c>
      <c r="F226">
        <f t="shared" si="16"/>
        <v>23.600000000000001</v>
      </c>
      <c r="G226">
        <f t="shared" si="17"/>
        <v>50.899999999999999</v>
      </c>
      <c r="H226">
        <v>37.5</v>
      </c>
      <c r="I226">
        <f t="shared" si="18"/>
        <v>22.399999999999999</v>
      </c>
      <c r="J226">
        <f t="shared" si="19"/>
        <v>0.70000000000000284</v>
      </c>
      <c r="Q226">
        <v>2.7999999999999998</v>
      </c>
    </row>
    <row r="227" ht="14.25">
      <c r="A227">
        <v>1424535</v>
      </c>
      <c r="B227">
        <v>7.4699999999999998</v>
      </c>
      <c r="C227">
        <v>74.150000000000006</v>
      </c>
      <c r="D227">
        <v>81</v>
      </c>
      <c r="E227">
        <v>37</v>
      </c>
      <c r="F227">
        <f t="shared" si="16"/>
        <v>23.699999999999999</v>
      </c>
      <c r="G227">
        <f t="shared" si="17"/>
        <v>50.899999999999999</v>
      </c>
      <c r="H227">
        <v>37.5</v>
      </c>
      <c r="I227">
        <f t="shared" si="18"/>
        <v>22.399999999999999</v>
      </c>
      <c r="J227">
        <f t="shared" si="19"/>
        <v>0.5</v>
      </c>
      <c r="Q227">
        <v>4.2000000000000002</v>
      </c>
    </row>
    <row r="228" ht="14.25">
      <c r="A228">
        <v>1430838</v>
      </c>
      <c r="B228">
        <v>7.9299999999999997</v>
      </c>
      <c r="C228">
        <v>74.230000000000004</v>
      </c>
      <c r="D228">
        <v>82</v>
      </c>
      <c r="E228">
        <v>37</v>
      </c>
      <c r="F228">
        <f t="shared" ref="F228:F286" si="20">ROUND(A228/60000,1)</f>
        <v>23.800000000000001</v>
      </c>
      <c r="G228">
        <f t="shared" ref="G228:G286" si="21">ROUND((D228/159)*100,1)</f>
        <v>51.600000000000001</v>
      </c>
      <c r="H228">
        <v>37.5</v>
      </c>
      <c r="I228">
        <f t="shared" ref="I228:I286" si="22">ROUND((D228/159)*44,1)</f>
        <v>22.699999999999999</v>
      </c>
      <c r="J228">
        <f t="shared" ref="J228:J286" si="23">37.5-E228</f>
        <v>0.5</v>
      </c>
      <c r="Q228">
        <v>4.2000000000000002</v>
      </c>
    </row>
    <row r="229" ht="14.25">
      <c r="A229">
        <v>1437142</v>
      </c>
      <c r="B229">
        <v>7.9299999999999997</v>
      </c>
      <c r="C229">
        <v>74.310000000000002</v>
      </c>
      <c r="D229">
        <v>82</v>
      </c>
      <c r="E229">
        <v>37</v>
      </c>
      <c r="F229">
        <f t="shared" si="20"/>
        <v>24</v>
      </c>
      <c r="G229">
        <f t="shared" si="21"/>
        <v>51.600000000000001</v>
      </c>
      <c r="H229">
        <v>37.5</v>
      </c>
      <c r="I229">
        <f t="shared" si="22"/>
        <v>22.699999999999999</v>
      </c>
      <c r="J229">
        <f t="shared" si="23"/>
        <v>0.5</v>
      </c>
      <c r="Q229">
        <v>5.5999999999999996</v>
      </c>
    </row>
    <row r="230" ht="14.25">
      <c r="A230">
        <v>1443444</v>
      </c>
      <c r="B230">
        <v>7</v>
      </c>
      <c r="C230">
        <v>74.379999999999995</v>
      </c>
      <c r="D230">
        <v>81</v>
      </c>
      <c r="E230">
        <v>37.100000000000001</v>
      </c>
      <c r="F230">
        <f t="shared" si="20"/>
        <v>24.100000000000001</v>
      </c>
      <c r="G230">
        <f t="shared" si="21"/>
        <v>50.899999999999999</v>
      </c>
      <c r="H230">
        <v>37.5</v>
      </c>
      <c r="I230">
        <f t="shared" si="22"/>
        <v>22.399999999999999</v>
      </c>
      <c r="J230">
        <f t="shared" si="23"/>
        <v>0.39999999999999858</v>
      </c>
      <c r="Q230">
        <v>4.2000000000000002</v>
      </c>
    </row>
    <row r="231" ht="14.25">
      <c r="A231">
        <v>1449748</v>
      </c>
      <c r="B231">
        <v>9.3300000000000001</v>
      </c>
      <c r="C231">
        <v>74.469999999999999</v>
      </c>
      <c r="D231">
        <v>83</v>
      </c>
      <c r="E231">
        <v>36.600000000000001</v>
      </c>
      <c r="F231">
        <f t="shared" si="20"/>
        <v>24.199999999999999</v>
      </c>
      <c r="G231">
        <f t="shared" si="21"/>
        <v>52.200000000000003</v>
      </c>
      <c r="H231">
        <v>37.5</v>
      </c>
      <c r="I231">
        <f t="shared" si="22"/>
        <v>23</v>
      </c>
      <c r="J231">
        <f t="shared" si="23"/>
        <v>0.89999999999999858</v>
      </c>
      <c r="Q231">
        <v>1.3999999999999999</v>
      </c>
    </row>
    <row r="232" ht="14.25">
      <c r="A232">
        <v>1456052</v>
      </c>
      <c r="B232">
        <v>7.4699999999999998</v>
      </c>
      <c r="C232">
        <v>74.549999999999997</v>
      </c>
      <c r="D232">
        <v>82</v>
      </c>
      <c r="E232">
        <v>37</v>
      </c>
      <c r="F232">
        <f t="shared" si="20"/>
        <v>24.300000000000001</v>
      </c>
      <c r="G232">
        <f t="shared" si="21"/>
        <v>51.600000000000001</v>
      </c>
      <c r="H232">
        <v>37.5</v>
      </c>
      <c r="I232">
        <f t="shared" si="22"/>
        <v>22.699999999999999</v>
      </c>
      <c r="J232">
        <f t="shared" si="23"/>
        <v>0.5</v>
      </c>
      <c r="Q232">
        <v>4.2000000000000002</v>
      </c>
    </row>
    <row r="233" ht="14.25">
      <c r="A233">
        <v>1462355</v>
      </c>
      <c r="B233">
        <v>6.5300000000000002</v>
      </c>
      <c r="C233">
        <v>74.609999999999999</v>
      </c>
      <c r="D233">
        <v>81</v>
      </c>
      <c r="E233">
        <v>37.200000000000003</v>
      </c>
      <c r="F233">
        <f t="shared" si="20"/>
        <v>24.399999999999999</v>
      </c>
      <c r="G233">
        <f t="shared" si="21"/>
        <v>50.899999999999999</v>
      </c>
      <c r="H233">
        <v>37.5</v>
      </c>
      <c r="I233">
        <f t="shared" si="22"/>
        <v>22.399999999999999</v>
      </c>
      <c r="J233">
        <f t="shared" si="23"/>
        <v>0.29999999999999716</v>
      </c>
      <c r="Q233">
        <v>2.7999999999999998</v>
      </c>
    </row>
    <row r="234" ht="14.25">
      <c r="A234">
        <v>1468659</v>
      </c>
      <c r="B234">
        <v>7.4699999999999998</v>
      </c>
      <c r="C234">
        <v>74.689999999999998</v>
      </c>
      <c r="D234">
        <v>82</v>
      </c>
      <c r="E234">
        <v>37</v>
      </c>
      <c r="F234">
        <f t="shared" si="20"/>
        <v>24.5</v>
      </c>
      <c r="G234">
        <f t="shared" si="21"/>
        <v>51.600000000000001</v>
      </c>
      <c r="H234">
        <v>37.5</v>
      </c>
      <c r="I234">
        <f t="shared" si="22"/>
        <v>22.699999999999999</v>
      </c>
      <c r="J234">
        <f t="shared" si="23"/>
        <v>0.5</v>
      </c>
      <c r="Q234">
        <v>4.2000000000000002</v>
      </c>
    </row>
    <row r="235" ht="14.25">
      <c r="A235">
        <v>1474962</v>
      </c>
      <c r="B235">
        <v>7.4699999999999998</v>
      </c>
      <c r="C235">
        <v>74.760000000000005</v>
      </c>
      <c r="D235">
        <v>82</v>
      </c>
      <c r="E235">
        <v>37</v>
      </c>
      <c r="F235">
        <f t="shared" si="20"/>
        <v>24.600000000000001</v>
      </c>
      <c r="G235">
        <f t="shared" si="21"/>
        <v>51.600000000000001</v>
      </c>
      <c r="H235">
        <v>37.5</v>
      </c>
      <c r="I235">
        <f t="shared" si="22"/>
        <v>22.699999999999999</v>
      </c>
      <c r="J235">
        <f t="shared" si="23"/>
        <v>0.5</v>
      </c>
      <c r="Q235">
        <v>5.5999999999999996</v>
      </c>
    </row>
    <row r="236" ht="14.25">
      <c r="A236">
        <v>1481266</v>
      </c>
      <c r="B236">
        <v>6.5300000000000002</v>
      </c>
      <c r="C236">
        <v>74.829999999999998</v>
      </c>
      <c r="D236">
        <v>81</v>
      </c>
      <c r="E236">
        <v>37</v>
      </c>
      <c r="F236">
        <f t="shared" si="20"/>
        <v>24.699999999999999</v>
      </c>
      <c r="G236">
        <f t="shared" si="21"/>
        <v>50.899999999999999</v>
      </c>
      <c r="H236">
        <v>37.5</v>
      </c>
      <c r="I236">
        <f t="shared" si="22"/>
        <v>22.399999999999999</v>
      </c>
      <c r="J236">
        <f t="shared" si="23"/>
        <v>0.5</v>
      </c>
      <c r="Q236">
        <v>2.7999999999999998</v>
      </c>
    </row>
    <row r="237" ht="14.25">
      <c r="A237">
        <v>1487568</v>
      </c>
      <c r="B237">
        <v>6.5300000000000002</v>
      </c>
      <c r="C237">
        <v>74.890000000000001</v>
      </c>
      <c r="D237">
        <v>81</v>
      </c>
      <c r="E237">
        <v>36.899999999999999</v>
      </c>
      <c r="F237">
        <f t="shared" si="20"/>
        <v>24.800000000000001</v>
      </c>
      <c r="G237">
        <f t="shared" si="21"/>
        <v>50.899999999999999</v>
      </c>
      <c r="H237">
        <v>37.5</v>
      </c>
      <c r="I237">
        <f t="shared" si="22"/>
        <v>22.399999999999999</v>
      </c>
      <c r="J237">
        <f t="shared" si="23"/>
        <v>0.60000000000000142</v>
      </c>
      <c r="Q237">
        <v>2.7999999999999998</v>
      </c>
    </row>
    <row r="238" ht="14.25">
      <c r="A238">
        <v>1493871</v>
      </c>
      <c r="B238">
        <v>5.1299999999999999</v>
      </c>
      <c r="C238">
        <v>74.939999999999998</v>
      </c>
      <c r="D238">
        <v>80</v>
      </c>
      <c r="E238">
        <v>37.200000000000003</v>
      </c>
      <c r="F238">
        <f t="shared" si="20"/>
        <v>24.899999999999999</v>
      </c>
      <c r="G238">
        <f t="shared" si="21"/>
        <v>50.299999999999997</v>
      </c>
      <c r="H238">
        <v>37.5</v>
      </c>
      <c r="I238">
        <f t="shared" si="22"/>
        <v>22.100000000000001</v>
      </c>
      <c r="J238">
        <f t="shared" si="23"/>
        <v>0.29999999999999716</v>
      </c>
      <c r="Q238">
        <v>2.7999999999999998</v>
      </c>
    </row>
    <row r="239" ht="14.25">
      <c r="A239">
        <v>1500174</v>
      </c>
      <c r="B239">
        <v>6.5300000000000002</v>
      </c>
      <c r="C239">
        <v>75.010000000000005</v>
      </c>
      <c r="D239">
        <v>81</v>
      </c>
      <c r="E239">
        <v>37</v>
      </c>
      <c r="F239">
        <f t="shared" si="20"/>
        <v>25</v>
      </c>
      <c r="G239">
        <f t="shared" si="21"/>
        <v>50.899999999999999</v>
      </c>
      <c r="H239">
        <v>37.5</v>
      </c>
      <c r="I239">
        <f t="shared" si="22"/>
        <v>22.399999999999999</v>
      </c>
      <c r="J239">
        <f t="shared" si="23"/>
        <v>0.5</v>
      </c>
      <c r="Q239">
        <v>4.2000000000000002</v>
      </c>
    </row>
    <row r="240" ht="14.25">
      <c r="A240">
        <v>1506478</v>
      </c>
      <c r="B240">
        <v>5.1299999999999999</v>
      </c>
      <c r="C240">
        <v>75.060000000000002</v>
      </c>
      <c r="D240">
        <v>80</v>
      </c>
      <c r="E240">
        <v>37.200000000000003</v>
      </c>
      <c r="F240">
        <f t="shared" si="20"/>
        <v>25.100000000000001</v>
      </c>
      <c r="G240">
        <f t="shared" si="21"/>
        <v>50.299999999999997</v>
      </c>
      <c r="H240">
        <v>37.5</v>
      </c>
      <c r="I240">
        <f t="shared" si="22"/>
        <v>22.100000000000001</v>
      </c>
      <c r="J240">
        <f t="shared" si="23"/>
        <v>0.29999999999999716</v>
      </c>
      <c r="Q240">
        <v>1.3999999999999999</v>
      </c>
    </row>
    <row r="241" ht="14.25">
      <c r="A241">
        <v>1512780</v>
      </c>
      <c r="B241">
        <v>4.6699999999999999</v>
      </c>
      <c r="C241">
        <v>75.109999999999999</v>
      </c>
      <c r="D241">
        <v>79</v>
      </c>
      <c r="E241">
        <v>37.100000000000001</v>
      </c>
      <c r="F241">
        <f t="shared" si="20"/>
        <v>25.199999999999999</v>
      </c>
      <c r="G241">
        <f t="shared" si="21"/>
        <v>49.700000000000003</v>
      </c>
      <c r="H241">
        <v>37.5</v>
      </c>
      <c r="I241">
        <f t="shared" si="22"/>
        <v>21.899999999999999</v>
      </c>
      <c r="J241">
        <f t="shared" si="23"/>
        <v>0.39999999999999858</v>
      </c>
      <c r="Q241">
        <v>2.7999999999999998</v>
      </c>
    </row>
    <row r="242" ht="14.25">
      <c r="A242">
        <v>1519083</v>
      </c>
      <c r="B242">
        <v>6.5300000000000002</v>
      </c>
      <c r="C242">
        <v>75.170000000000002</v>
      </c>
      <c r="D242">
        <v>81</v>
      </c>
      <c r="E242">
        <v>36.899999999999999</v>
      </c>
      <c r="F242">
        <f t="shared" si="20"/>
        <v>25.300000000000001</v>
      </c>
      <c r="G242">
        <f t="shared" si="21"/>
        <v>50.899999999999999</v>
      </c>
      <c r="H242">
        <v>37.5</v>
      </c>
      <c r="I242">
        <f t="shared" si="22"/>
        <v>22.399999999999999</v>
      </c>
      <c r="J242">
        <f t="shared" si="23"/>
        <v>0.60000000000000142</v>
      </c>
      <c r="Q242">
        <v>7</v>
      </c>
    </row>
    <row r="243" ht="14.25">
      <c r="A243">
        <v>1525386</v>
      </c>
      <c r="B243">
        <v>6.5300000000000002</v>
      </c>
      <c r="C243">
        <v>75.239999999999995</v>
      </c>
      <c r="D243">
        <v>81</v>
      </c>
      <c r="E243">
        <v>36.899999999999999</v>
      </c>
      <c r="F243">
        <f t="shared" si="20"/>
        <v>25.399999999999999</v>
      </c>
      <c r="G243">
        <f t="shared" si="21"/>
        <v>50.899999999999999</v>
      </c>
      <c r="H243">
        <v>37.5</v>
      </c>
      <c r="I243">
        <f t="shared" si="22"/>
        <v>22.399999999999999</v>
      </c>
      <c r="J243">
        <f t="shared" si="23"/>
        <v>0.60000000000000142</v>
      </c>
      <c r="Q243">
        <v>2.7999999999999998</v>
      </c>
    </row>
    <row r="244" ht="14.25">
      <c r="A244">
        <v>1531689</v>
      </c>
      <c r="B244">
        <v>4.6699999999999999</v>
      </c>
      <c r="C244">
        <v>75.280000000000001</v>
      </c>
      <c r="D244">
        <v>79</v>
      </c>
      <c r="E244">
        <v>37.100000000000001</v>
      </c>
      <c r="F244">
        <f t="shared" si="20"/>
        <v>25.5</v>
      </c>
      <c r="G244">
        <f t="shared" si="21"/>
        <v>49.700000000000003</v>
      </c>
      <c r="H244">
        <v>37.5</v>
      </c>
      <c r="I244">
        <f t="shared" si="22"/>
        <v>21.899999999999999</v>
      </c>
      <c r="J244">
        <f t="shared" si="23"/>
        <v>0.39999999999999858</v>
      </c>
      <c r="Q244">
        <v>2.7999999999999998</v>
      </c>
    </row>
    <row r="245" ht="14.25">
      <c r="A245">
        <v>1537993</v>
      </c>
      <c r="B245">
        <v>4.2000000000000002</v>
      </c>
      <c r="C245">
        <v>75.319999999999993</v>
      </c>
      <c r="D245">
        <v>79</v>
      </c>
      <c r="E245">
        <v>37.200000000000003</v>
      </c>
      <c r="F245">
        <f t="shared" si="20"/>
        <v>25.600000000000001</v>
      </c>
      <c r="G245">
        <f t="shared" si="21"/>
        <v>49.700000000000003</v>
      </c>
      <c r="H245">
        <v>37.5</v>
      </c>
      <c r="I245">
        <f t="shared" si="22"/>
        <v>21.899999999999999</v>
      </c>
      <c r="J245">
        <f t="shared" si="23"/>
        <v>0.29999999999999716</v>
      </c>
      <c r="Q245">
        <v>1.3999999999999999</v>
      </c>
    </row>
    <row r="246" ht="14.25">
      <c r="A246">
        <v>1544297</v>
      </c>
      <c r="B246">
        <v>4.6699999999999999</v>
      </c>
      <c r="C246">
        <v>75.370000000000005</v>
      </c>
      <c r="D246">
        <v>80</v>
      </c>
      <c r="E246">
        <v>37.200000000000003</v>
      </c>
      <c r="F246">
        <f t="shared" si="20"/>
        <v>25.699999999999999</v>
      </c>
      <c r="G246">
        <f t="shared" si="21"/>
        <v>50.299999999999997</v>
      </c>
      <c r="H246">
        <v>37.5</v>
      </c>
      <c r="I246">
        <f t="shared" si="22"/>
        <v>22.100000000000001</v>
      </c>
      <c r="J246">
        <f t="shared" si="23"/>
        <v>0.29999999999999716</v>
      </c>
      <c r="Q246">
        <v>1.3999999999999999</v>
      </c>
    </row>
    <row r="247" ht="14.25">
      <c r="A247">
        <v>1550601</v>
      </c>
      <c r="B247">
        <v>3.73</v>
      </c>
      <c r="C247">
        <v>75.409999999999997</v>
      </c>
      <c r="D247">
        <v>79</v>
      </c>
      <c r="E247">
        <v>37.200000000000003</v>
      </c>
      <c r="F247">
        <f t="shared" si="20"/>
        <v>25.800000000000001</v>
      </c>
      <c r="G247">
        <f t="shared" si="21"/>
        <v>49.700000000000003</v>
      </c>
      <c r="H247">
        <v>37.5</v>
      </c>
      <c r="I247">
        <f t="shared" si="22"/>
        <v>21.899999999999999</v>
      </c>
      <c r="J247">
        <f t="shared" si="23"/>
        <v>0.29999999999999716</v>
      </c>
      <c r="Q247">
        <v>2.7999999999999998</v>
      </c>
    </row>
    <row r="248" ht="14.25">
      <c r="A248">
        <v>1556904</v>
      </c>
      <c r="B248">
        <v>4.6699999999999999</v>
      </c>
      <c r="C248">
        <v>75.459999999999994</v>
      </c>
      <c r="D248">
        <v>80</v>
      </c>
      <c r="E248">
        <v>37.100000000000001</v>
      </c>
      <c r="F248">
        <f t="shared" si="20"/>
        <v>25.899999999999999</v>
      </c>
      <c r="G248">
        <f t="shared" si="21"/>
        <v>50.299999999999997</v>
      </c>
      <c r="H248">
        <v>37.5</v>
      </c>
      <c r="I248">
        <f t="shared" si="22"/>
        <v>22.100000000000001</v>
      </c>
      <c r="J248">
        <f t="shared" si="23"/>
        <v>0.39999999999999858</v>
      </c>
      <c r="Q248">
        <v>2.7999999999999998</v>
      </c>
    </row>
    <row r="249" ht="14.25">
      <c r="A249">
        <v>1563207</v>
      </c>
      <c r="B249">
        <v>2.7999999999999998</v>
      </c>
      <c r="C249">
        <v>75.480000000000004</v>
      </c>
      <c r="D249">
        <v>78</v>
      </c>
      <c r="E249">
        <v>37.200000000000003</v>
      </c>
      <c r="F249">
        <f t="shared" si="20"/>
        <v>26.100000000000001</v>
      </c>
      <c r="G249">
        <f t="shared" si="21"/>
        <v>49.100000000000001</v>
      </c>
      <c r="H249">
        <v>37.5</v>
      </c>
      <c r="I249">
        <f t="shared" si="22"/>
        <v>21.600000000000001</v>
      </c>
      <c r="J249">
        <f t="shared" si="23"/>
        <v>0.29999999999999716</v>
      </c>
      <c r="Q249">
        <v>4.2000000000000002</v>
      </c>
    </row>
    <row r="250" ht="14.25">
      <c r="A250">
        <v>1569510</v>
      </c>
      <c r="B250">
        <v>1.3999999999999999</v>
      </c>
      <c r="C250">
        <v>75.5</v>
      </c>
      <c r="D250">
        <v>76</v>
      </c>
      <c r="E250">
        <v>37.399999999999999</v>
      </c>
      <c r="F250">
        <f t="shared" si="20"/>
        <v>26.199999999999999</v>
      </c>
      <c r="G250">
        <f t="shared" si="21"/>
        <v>47.799999999999997</v>
      </c>
      <c r="H250">
        <v>37.5</v>
      </c>
      <c r="I250">
        <f t="shared" si="22"/>
        <v>21</v>
      </c>
      <c r="J250">
        <f t="shared" si="23"/>
        <v>0.10000000000000142</v>
      </c>
      <c r="Q250">
        <v>1.3999999999999999</v>
      </c>
    </row>
    <row r="251" ht="14.25">
      <c r="A251">
        <v>1575813</v>
      </c>
      <c r="B251">
        <v>4.6699999999999999</v>
      </c>
      <c r="C251">
        <v>75.540000000000006</v>
      </c>
      <c r="D251">
        <v>80</v>
      </c>
      <c r="E251">
        <v>37.200000000000003</v>
      </c>
      <c r="F251">
        <f t="shared" si="20"/>
        <v>26.300000000000001</v>
      </c>
      <c r="G251">
        <f t="shared" si="21"/>
        <v>50.299999999999997</v>
      </c>
      <c r="H251">
        <v>37.5</v>
      </c>
      <c r="I251">
        <f t="shared" si="22"/>
        <v>22.100000000000001</v>
      </c>
      <c r="J251">
        <f t="shared" si="23"/>
        <v>0.29999999999999716</v>
      </c>
      <c r="Q251">
        <v>2.7999999999999998</v>
      </c>
    </row>
    <row r="252" ht="14.25">
      <c r="A252">
        <v>1582116</v>
      </c>
      <c r="B252">
        <v>3.73</v>
      </c>
      <c r="C252">
        <v>75.579999999999998</v>
      </c>
      <c r="D252">
        <v>79</v>
      </c>
      <c r="E252">
        <v>37.399999999999999</v>
      </c>
      <c r="F252">
        <f t="shared" si="20"/>
        <v>26.399999999999999</v>
      </c>
      <c r="G252">
        <f t="shared" si="21"/>
        <v>49.700000000000003</v>
      </c>
      <c r="H252">
        <v>37.5</v>
      </c>
      <c r="I252">
        <f t="shared" si="22"/>
        <v>21.899999999999999</v>
      </c>
      <c r="J252">
        <f t="shared" si="23"/>
        <v>0.10000000000000142</v>
      </c>
      <c r="Q252">
        <v>4.2000000000000002</v>
      </c>
    </row>
    <row r="253" ht="14.25">
      <c r="A253">
        <v>1588419</v>
      </c>
      <c r="B253">
        <v>1.8700000000000001</v>
      </c>
      <c r="C253">
        <v>75.599999999999994</v>
      </c>
      <c r="D253">
        <v>77</v>
      </c>
      <c r="E253">
        <v>37.600000000000001</v>
      </c>
      <c r="F253">
        <f t="shared" si="20"/>
        <v>26.5</v>
      </c>
      <c r="G253">
        <f t="shared" si="21"/>
        <v>48.399999999999999</v>
      </c>
      <c r="H253">
        <v>37.5</v>
      </c>
      <c r="I253">
        <f t="shared" si="22"/>
        <v>21.300000000000001</v>
      </c>
      <c r="J253">
        <f t="shared" si="23"/>
        <v>-0.10000000000000142</v>
      </c>
      <c r="Q253">
        <v>4.2000000000000002</v>
      </c>
    </row>
    <row r="254" ht="14.25">
      <c r="A254">
        <v>1594722</v>
      </c>
      <c r="B254">
        <v>2.7999999999999998</v>
      </c>
      <c r="C254">
        <v>75.629999999999995</v>
      </c>
      <c r="D254">
        <v>78</v>
      </c>
      <c r="E254">
        <v>37.299999999999997</v>
      </c>
      <c r="F254">
        <f t="shared" si="20"/>
        <v>26.600000000000001</v>
      </c>
      <c r="G254">
        <f t="shared" si="21"/>
        <v>49.100000000000001</v>
      </c>
      <c r="H254">
        <v>37.5</v>
      </c>
      <c r="I254">
        <f t="shared" si="22"/>
        <v>21.600000000000001</v>
      </c>
      <c r="J254">
        <f t="shared" si="23"/>
        <v>0.20000000000000284</v>
      </c>
      <c r="Q254">
        <v>2.7999999999999998</v>
      </c>
    </row>
    <row r="255" ht="14.25">
      <c r="A255">
        <v>1601026</v>
      </c>
      <c r="B255">
        <v>1.8700000000000001</v>
      </c>
      <c r="C255">
        <v>75.650000000000006</v>
      </c>
      <c r="D255">
        <v>77</v>
      </c>
      <c r="E255">
        <v>37.399999999999999</v>
      </c>
      <c r="F255">
        <f t="shared" si="20"/>
        <v>26.699999999999999</v>
      </c>
      <c r="G255">
        <f t="shared" si="21"/>
        <v>48.399999999999999</v>
      </c>
      <c r="H255">
        <v>37.5</v>
      </c>
      <c r="I255">
        <f t="shared" si="22"/>
        <v>21.300000000000001</v>
      </c>
      <c r="J255">
        <f t="shared" si="23"/>
        <v>0.10000000000000142</v>
      </c>
      <c r="Q255">
        <v>2.7999999999999998</v>
      </c>
    </row>
    <row r="256" ht="14.25">
      <c r="A256">
        <v>1607328</v>
      </c>
      <c r="B256">
        <v>4.6699999999999999</v>
      </c>
      <c r="C256">
        <v>75.689999999999998</v>
      </c>
      <c r="D256">
        <v>80</v>
      </c>
      <c r="E256">
        <v>37.200000000000003</v>
      </c>
      <c r="F256">
        <f t="shared" si="20"/>
        <v>26.800000000000001</v>
      </c>
      <c r="G256">
        <f t="shared" si="21"/>
        <v>50.299999999999997</v>
      </c>
      <c r="H256">
        <v>37.5</v>
      </c>
      <c r="I256">
        <f t="shared" si="22"/>
        <v>22.100000000000001</v>
      </c>
      <c r="J256">
        <f t="shared" si="23"/>
        <v>0.29999999999999716</v>
      </c>
      <c r="Q256">
        <v>1.3999999999999999</v>
      </c>
    </row>
    <row r="257" ht="14.25">
      <c r="A257">
        <v>1613631</v>
      </c>
      <c r="B257">
        <v>3.73</v>
      </c>
      <c r="C257">
        <v>75.730000000000004</v>
      </c>
      <c r="D257">
        <v>79</v>
      </c>
      <c r="E257">
        <v>37.399999999999999</v>
      </c>
      <c r="F257">
        <f t="shared" si="20"/>
        <v>26.899999999999999</v>
      </c>
      <c r="G257">
        <f t="shared" si="21"/>
        <v>49.700000000000003</v>
      </c>
      <c r="H257">
        <v>37.5</v>
      </c>
      <c r="I257">
        <f t="shared" si="22"/>
        <v>21.899999999999999</v>
      </c>
      <c r="J257">
        <f t="shared" si="23"/>
        <v>0.10000000000000142</v>
      </c>
      <c r="Q257">
        <v>2.7999999999999998</v>
      </c>
    </row>
    <row r="258" ht="14.25">
      <c r="A258">
        <v>1619935</v>
      </c>
      <c r="B258">
        <v>3.27</v>
      </c>
      <c r="C258">
        <v>75.760000000000005</v>
      </c>
      <c r="D258">
        <v>79</v>
      </c>
      <c r="E258">
        <v>37.299999999999997</v>
      </c>
      <c r="F258">
        <f t="shared" si="20"/>
        <v>27</v>
      </c>
      <c r="G258">
        <f t="shared" si="21"/>
        <v>49.700000000000003</v>
      </c>
      <c r="H258">
        <v>37.5</v>
      </c>
      <c r="I258">
        <f t="shared" si="22"/>
        <v>21.899999999999999</v>
      </c>
      <c r="J258">
        <f t="shared" si="23"/>
        <v>0.20000000000000284</v>
      </c>
      <c r="Q258">
        <v>2.7999999999999998</v>
      </c>
    </row>
    <row r="259" ht="14.25">
      <c r="A259">
        <v>1626237</v>
      </c>
      <c r="B259">
        <v>2.7999999999999998</v>
      </c>
      <c r="C259">
        <v>75.790000000000006</v>
      </c>
      <c r="D259">
        <v>78</v>
      </c>
      <c r="E259">
        <v>37.200000000000003</v>
      </c>
      <c r="F259">
        <f t="shared" si="20"/>
        <v>27.100000000000001</v>
      </c>
      <c r="G259">
        <f t="shared" si="21"/>
        <v>49.100000000000001</v>
      </c>
      <c r="H259">
        <v>37.5</v>
      </c>
      <c r="I259">
        <f t="shared" si="22"/>
        <v>21.600000000000001</v>
      </c>
      <c r="J259">
        <f t="shared" si="23"/>
        <v>0.29999999999999716</v>
      </c>
      <c r="Q259">
        <v>2.7999999999999998</v>
      </c>
    </row>
    <row r="260" ht="14.25">
      <c r="A260">
        <v>1632541</v>
      </c>
      <c r="B260">
        <v>3.27</v>
      </c>
      <c r="C260">
        <v>75.819999999999993</v>
      </c>
      <c r="D260">
        <v>79</v>
      </c>
      <c r="E260">
        <v>37.200000000000003</v>
      </c>
      <c r="F260">
        <f t="shared" si="20"/>
        <v>27.199999999999999</v>
      </c>
      <c r="G260">
        <f t="shared" si="21"/>
        <v>49.700000000000003</v>
      </c>
      <c r="H260">
        <v>37.5</v>
      </c>
      <c r="I260">
        <f t="shared" si="22"/>
        <v>21.899999999999999</v>
      </c>
      <c r="J260">
        <f t="shared" si="23"/>
        <v>0.29999999999999716</v>
      </c>
      <c r="Q260">
        <v>4.2000000000000002</v>
      </c>
    </row>
    <row r="261" ht="14.25">
      <c r="A261">
        <v>1638846</v>
      </c>
      <c r="B261">
        <v>0.93000000000000005</v>
      </c>
      <c r="C261">
        <v>75.829999999999998</v>
      </c>
      <c r="D261">
        <v>76</v>
      </c>
      <c r="E261">
        <v>37.600000000000001</v>
      </c>
      <c r="F261">
        <f t="shared" si="20"/>
        <v>27.300000000000001</v>
      </c>
      <c r="G261">
        <f t="shared" si="21"/>
        <v>47.799999999999997</v>
      </c>
      <c r="H261">
        <v>37.5</v>
      </c>
      <c r="I261">
        <f t="shared" si="22"/>
        <v>21</v>
      </c>
      <c r="J261">
        <f t="shared" si="23"/>
        <v>-0.10000000000000142</v>
      </c>
      <c r="Q261">
        <v>2.7999999999999998</v>
      </c>
    </row>
    <row r="262" ht="14.25">
      <c r="A262">
        <v>1645150</v>
      </c>
      <c r="B262">
        <v>0.93000000000000005</v>
      </c>
      <c r="C262">
        <v>75.840000000000003</v>
      </c>
      <c r="D262">
        <v>76</v>
      </c>
      <c r="E262">
        <v>37.799999999999997</v>
      </c>
      <c r="F262">
        <f t="shared" si="20"/>
        <v>27.399999999999999</v>
      </c>
      <c r="G262">
        <f t="shared" si="21"/>
        <v>47.799999999999997</v>
      </c>
      <c r="H262">
        <v>37.5</v>
      </c>
      <c r="I262">
        <f t="shared" si="22"/>
        <v>21</v>
      </c>
      <c r="J262">
        <f t="shared" si="23"/>
        <v>-0.29999999999999716</v>
      </c>
      <c r="Q262">
        <v>5.5999999999999996</v>
      </c>
    </row>
    <row r="263" ht="14.25">
      <c r="A263">
        <v>1651452</v>
      </c>
      <c r="B263">
        <v>2.7999999999999998</v>
      </c>
      <c r="C263">
        <v>75.870000000000005</v>
      </c>
      <c r="D263">
        <v>78</v>
      </c>
      <c r="E263">
        <v>37.299999999999997</v>
      </c>
      <c r="F263">
        <f t="shared" si="20"/>
        <v>27.5</v>
      </c>
      <c r="G263">
        <f t="shared" si="21"/>
        <v>49.100000000000001</v>
      </c>
      <c r="H263">
        <v>37.5</v>
      </c>
      <c r="I263">
        <f t="shared" si="22"/>
        <v>21.600000000000001</v>
      </c>
      <c r="J263">
        <f t="shared" si="23"/>
        <v>0.20000000000000284</v>
      </c>
      <c r="Q263">
        <v>5.5999999999999996</v>
      </c>
    </row>
    <row r="264" ht="14.25">
      <c r="A264">
        <v>1657754</v>
      </c>
      <c r="B264">
        <v>2.3300000000000001</v>
      </c>
      <c r="C264">
        <v>75.890000000000001</v>
      </c>
      <c r="D264">
        <v>78</v>
      </c>
      <c r="E264">
        <v>37.399999999999999</v>
      </c>
      <c r="F264">
        <f t="shared" si="20"/>
        <v>27.600000000000001</v>
      </c>
      <c r="G264">
        <f t="shared" si="21"/>
        <v>49.100000000000001</v>
      </c>
      <c r="H264">
        <v>37.5</v>
      </c>
      <c r="I264">
        <f t="shared" si="22"/>
        <v>21.600000000000001</v>
      </c>
      <c r="J264">
        <f t="shared" si="23"/>
        <v>0.10000000000000142</v>
      </c>
      <c r="Q264">
        <v>2.7999999999999998</v>
      </c>
    </row>
    <row r="265" ht="14.25">
      <c r="A265">
        <v>1664058</v>
      </c>
      <c r="B265">
        <v>2.3300000000000001</v>
      </c>
      <c r="C265">
        <v>75.920000000000002</v>
      </c>
      <c r="D265">
        <v>78</v>
      </c>
      <c r="E265">
        <v>37.299999999999997</v>
      </c>
      <c r="F265">
        <f t="shared" si="20"/>
        <v>27.699999999999999</v>
      </c>
      <c r="G265">
        <f t="shared" si="21"/>
        <v>49.100000000000001</v>
      </c>
      <c r="H265">
        <v>37.5</v>
      </c>
      <c r="I265">
        <f t="shared" si="22"/>
        <v>21.600000000000001</v>
      </c>
      <c r="J265">
        <f t="shared" si="23"/>
        <v>0.20000000000000284</v>
      </c>
      <c r="Q265">
        <v>2.7999999999999998</v>
      </c>
    </row>
    <row r="266" ht="14.25">
      <c r="A266">
        <v>1670361</v>
      </c>
      <c r="B266">
        <v>0.46999999999999997</v>
      </c>
      <c r="C266">
        <v>75.920000000000002</v>
      </c>
      <c r="D266">
        <v>76</v>
      </c>
      <c r="E266">
        <v>37.399999999999999</v>
      </c>
      <c r="F266">
        <f t="shared" si="20"/>
        <v>27.800000000000001</v>
      </c>
      <c r="G266">
        <f t="shared" si="21"/>
        <v>47.799999999999997</v>
      </c>
      <c r="H266">
        <v>37.5</v>
      </c>
      <c r="I266">
        <f t="shared" si="22"/>
        <v>21</v>
      </c>
      <c r="J266">
        <f t="shared" si="23"/>
        <v>0.10000000000000142</v>
      </c>
      <c r="Q266">
        <v>4.2000000000000002</v>
      </c>
    </row>
    <row r="267" ht="14.25">
      <c r="A267">
        <v>1676664</v>
      </c>
      <c r="B267">
        <v>3.73</v>
      </c>
      <c r="C267">
        <v>75.959999999999994</v>
      </c>
      <c r="D267">
        <v>79</v>
      </c>
      <c r="E267">
        <v>37.100000000000001</v>
      </c>
      <c r="F267">
        <f t="shared" si="20"/>
        <v>27.899999999999999</v>
      </c>
      <c r="G267">
        <f t="shared" si="21"/>
        <v>49.700000000000003</v>
      </c>
      <c r="H267">
        <v>37.5</v>
      </c>
      <c r="I267">
        <f t="shared" si="22"/>
        <v>21.899999999999999</v>
      </c>
      <c r="J267">
        <f t="shared" si="23"/>
        <v>0.39999999999999858</v>
      </c>
      <c r="Q267">
        <v>2.7999999999999998</v>
      </c>
    </row>
    <row r="268" ht="14.25">
      <c r="A268">
        <v>1682967</v>
      </c>
      <c r="B268">
        <v>2.3300000000000001</v>
      </c>
      <c r="C268">
        <v>75.980000000000004</v>
      </c>
      <c r="D268">
        <v>78</v>
      </c>
      <c r="E268">
        <v>37.399999999999999</v>
      </c>
      <c r="F268">
        <f t="shared" si="20"/>
        <v>28</v>
      </c>
      <c r="G268">
        <f t="shared" si="21"/>
        <v>49.100000000000001</v>
      </c>
      <c r="H268">
        <v>37.5</v>
      </c>
      <c r="I268">
        <f t="shared" si="22"/>
        <v>21.600000000000001</v>
      </c>
      <c r="J268">
        <f t="shared" si="23"/>
        <v>0.10000000000000142</v>
      </c>
      <c r="Q268">
        <v>4.2000000000000002</v>
      </c>
    </row>
    <row r="269" ht="14.25">
      <c r="A269">
        <v>1689270</v>
      </c>
      <c r="B269">
        <v>1.3999999999999999</v>
      </c>
      <c r="C269">
        <v>76</v>
      </c>
      <c r="D269">
        <v>77</v>
      </c>
      <c r="E269">
        <v>37.399999999999999</v>
      </c>
      <c r="F269">
        <f t="shared" si="20"/>
        <v>28.199999999999999</v>
      </c>
      <c r="G269">
        <f t="shared" si="21"/>
        <v>48.399999999999999</v>
      </c>
      <c r="H269">
        <v>37.5</v>
      </c>
      <c r="I269">
        <f t="shared" si="22"/>
        <v>21.300000000000001</v>
      </c>
      <c r="J269">
        <f t="shared" si="23"/>
        <v>0.10000000000000142</v>
      </c>
      <c r="Q269">
        <v>0</v>
      </c>
    </row>
    <row r="270" ht="14.25">
      <c r="A270">
        <v>1695574</v>
      </c>
      <c r="B270">
        <v>2.7999999999999998</v>
      </c>
      <c r="C270">
        <v>76.019999999999996</v>
      </c>
      <c r="D270">
        <v>78</v>
      </c>
      <c r="E270">
        <v>37.399999999999999</v>
      </c>
      <c r="F270">
        <f t="shared" si="20"/>
        <v>28.300000000000001</v>
      </c>
      <c r="G270">
        <f t="shared" si="21"/>
        <v>49.100000000000001</v>
      </c>
      <c r="H270">
        <v>37.5</v>
      </c>
      <c r="I270">
        <f t="shared" si="22"/>
        <v>21.600000000000001</v>
      </c>
      <c r="J270">
        <f t="shared" si="23"/>
        <v>0.10000000000000142</v>
      </c>
      <c r="Q270">
        <v>4.2000000000000002</v>
      </c>
    </row>
    <row r="271" ht="14.25">
      <c r="A271">
        <v>1701876</v>
      </c>
      <c r="B271">
        <v>1.8700000000000001</v>
      </c>
      <c r="C271">
        <v>76.040000000000006</v>
      </c>
      <c r="D271">
        <v>77</v>
      </c>
      <c r="E271">
        <v>37.399999999999999</v>
      </c>
      <c r="F271">
        <f t="shared" si="20"/>
        <v>28.399999999999999</v>
      </c>
      <c r="G271">
        <f t="shared" si="21"/>
        <v>48.399999999999999</v>
      </c>
      <c r="H271">
        <v>37.5</v>
      </c>
      <c r="I271">
        <f t="shared" si="22"/>
        <v>21.300000000000001</v>
      </c>
      <c r="J271">
        <f t="shared" si="23"/>
        <v>0.10000000000000142</v>
      </c>
      <c r="Q271">
        <v>0</v>
      </c>
    </row>
    <row r="272" ht="14.25">
      <c r="A272">
        <v>1708180</v>
      </c>
      <c r="B272">
        <v>1.3999999999999999</v>
      </c>
      <c r="C272">
        <v>76.060000000000002</v>
      </c>
      <c r="D272">
        <v>77</v>
      </c>
      <c r="E272">
        <v>37.399999999999999</v>
      </c>
      <c r="F272">
        <f t="shared" si="20"/>
        <v>28.5</v>
      </c>
      <c r="G272">
        <f t="shared" si="21"/>
        <v>48.399999999999999</v>
      </c>
      <c r="H272">
        <v>37.5</v>
      </c>
      <c r="I272">
        <f t="shared" si="22"/>
        <v>21.300000000000001</v>
      </c>
      <c r="J272">
        <f t="shared" si="23"/>
        <v>0.10000000000000142</v>
      </c>
      <c r="Q272">
        <v>4.2000000000000002</v>
      </c>
    </row>
    <row r="273" ht="14.25">
      <c r="A273">
        <v>1714483</v>
      </c>
      <c r="B273">
        <v>0.93000000000000005</v>
      </c>
      <c r="C273">
        <v>76.069999999999993</v>
      </c>
      <c r="D273">
        <v>76</v>
      </c>
      <c r="E273">
        <v>37.600000000000001</v>
      </c>
      <c r="F273">
        <f t="shared" si="20"/>
        <v>28.600000000000001</v>
      </c>
      <c r="G273">
        <f t="shared" si="21"/>
        <v>47.799999999999997</v>
      </c>
      <c r="H273">
        <v>37.5</v>
      </c>
      <c r="I273">
        <f t="shared" si="22"/>
        <v>21</v>
      </c>
      <c r="J273">
        <f t="shared" si="23"/>
        <v>-0.10000000000000142</v>
      </c>
      <c r="Q273">
        <v>1.3999999999999999</v>
      </c>
    </row>
    <row r="274" ht="14.25">
      <c r="A274">
        <v>1720787</v>
      </c>
      <c r="B274">
        <v>2.3300000000000001</v>
      </c>
      <c r="C274">
        <v>76.090000000000003</v>
      </c>
      <c r="D274">
        <v>78</v>
      </c>
      <c r="E274">
        <v>37.299999999999997</v>
      </c>
      <c r="F274">
        <f t="shared" si="20"/>
        <v>28.699999999999999</v>
      </c>
      <c r="G274">
        <f t="shared" si="21"/>
        <v>49.100000000000001</v>
      </c>
      <c r="H274">
        <v>37.5</v>
      </c>
      <c r="I274">
        <f t="shared" si="22"/>
        <v>21.600000000000001</v>
      </c>
      <c r="J274">
        <f t="shared" si="23"/>
        <v>0.20000000000000284</v>
      </c>
      <c r="Q274">
        <v>2.7999999999999998</v>
      </c>
    </row>
    <row r="275" ht="14.25">
      <c r="A275">
        <v>1727091</v>
      </c>
      <c r="B275">
        <v>2.3300000000000001</v>
      </c>
      <c r="C275">
        <v>76.109999999999999</v>
      </c>
      <c r="D275">
        <v>78</v>
      </c>
      <c r="E275">
        <v>37.299999999999997</v>
      </c>
      <c r="F275">
        <f t="shared" si="20"/>
        <v>28.800000000000001</v>
      </c>
      <c r="G275">
        <f t="shared" si="21"/>
        <v>49.100000000000001</v>
      </c>
      <c r="H275">
        <v>37.5</v>
      </c>
      <c r="I275">
        <f t="shared" si="22"/>
        <v>21.600000000000001</v>
      </c>
      <c r="J275">
        <f t="shared" si="23"/>
        <v>0.20000000000000284</v>
      </c>
      <c r="Q275">
        <v>1.3999999999999999</v>
      </c>
    </row>
    <row r="276" ht="14.25">
      <c r="A276">
        <v>1733394</v>
      </c>
      <c r="B276">
        <v>0.46999999999999997</v>
      </c>
      <c r="C276">
        <v>76.120000000000005</v>
      </c>
      <c r="D276">
        <v>76</v>
      </c>
      <c r="E276">
        <v>37.399999999999999</v>
      </c>
      <c r="F276">
        <f t="shared" si="20"/>
        <v>28.899999999999999</v>
      </c>
      <c r="G276">
        <f t="shared" si="21"/>
        <v>47.799999999999997</v>
      </c>
      <c r="H276">
        <v>37.5</v>
      </c>
      <c r="I276">
        <f t="shared" si="22"/>
        <v>21</v>
      </c>
      <c r="J276">
        <f t="shared" si="23"/>
        <v>0.10000000000000142</v>
      </c>
      <c r="Q276">
        <v>4.2000000000000002</v>
      </c>
    </row>
    <row r="277" ht="14.25">
      <c r="A277">
        <v>1739698</v>
      </c>
      <c r="B277">
        <v>2.7999999999999998</v>
      </c>
      <c r="C277">
        <v>76.150000000000006</v>
      </c>
      <c r="D277">
        <v>78</v>
      </c>
      <c r="E277">
        <v>37.200000000000003</v>
      </c>
      <c r="F277">
        <f t="shared" si="20"/>
        <v>29</v>
      </c>
      <c r="G277">
        <f t="shared" si="21"/>
        <v>49.100000000000001</v>
      </c>
      <c r="H277">
        <v>37.5</v>
      </c>
      <c r="I277">
        <f t="shared" si="22"/>
        <v>21.600000000000001</v>
      </c>
      <c r="J277">
        <f t="shared" si="23"/>
        <v>0.29999999999999716</v>
      </c>
      <c r="Q277">
        <v>4.2000000000000002</v>
      </c>
    </row>
    <row r="278" ht="14.25">
      <c r="A278">
        <v>1746000</v>
      </c>
      <c r="B278">
        <v>1.3999999999999999</v>
      </c>
      <c r="C278">
        <v>76.159999999999997</v>
      </c>
      <c r="D278">
        <v>77</v>
      </c>
      <c r="E278">
        <v>37.200000000000003</v>
      </c>
      <c r="F278">
        <f t="shared" si="20"/>
        <v>29.100000000000001</v>
      </c>
      <c r="G278">
        <f t="shared" si="21"/>
        <v>48.399999999999999</v>
      </c>
      <c r="H278">
        <v>37.5</v>
      </c>
      <c r="I278">
        <f t="shared" si="22"/>
        <v>21.300000000000001</v>
      </c>
      <c r="J278">
        <f t="shared" si="23"/>
        <v>0.29999999999999716</v>
      </c>
      <c r="Q278">
        <v>5.5999999999999996</v>
      </c>
    </row>
    <row r="279" ht="14.25">
      <c r="A279">
        <v>1752303</v>
      </c>
      <c r="B279">
        <v>1.3999999999999999</v>
      </c>
      <c r="C279">
        <v>76.170000000000002</v>
      </c>
      <c r="D279">
        <v>77</v>
      </c>
      <c r="E279">
        <v>37.399999999999999</v>
      </c>
      <c r="F279">
        <f t="shared" si="20"/>
        <v>29.199999999999999</v>
      </c>
      <c r="G279">
        <f t="shared" si="21"/>
        <v>48.399999999999999</v>
      </c>
      <c r="H279">
        <v>37.5</v>
      </c>
      <c r="I279">
        <f t="shared" si="22"/>
        <v>21.300000000000001</v>
      </c>
      <c r="J279">
        <f t="shared" si="23"/>
        <v>0.10000000000000142</v>
      </c>
      <c r="Q279">
        <v>2.7999999999999998</v>
      </c>
    </row>
    <row r="280" ht="14.25">
      <c r="A280">
        <v>1758606</v>
      </c>
      <c r="B280">
        <v>2.3300000000000001</v>
      </c>
      <c r="C280">
        <v>76.200000000000003</v>
      </c>
      <c r="D280">
        <v>78</v>
      </c>
      <c r="E280">
        <v>37.100000000000001</v>
      </c>
      <c r="F280">
        <f t="shared" si="20"/>
        <v>29.300000000000001</v>
      </c>
      <c r="G280">
        <f t="shared" si="21"/>
        <v>49.100000000000001</v>
      </c>
      <c r="H280">
        <v>37.5</v>
      </c>
      <c r="I280">
        <f t="shared" si="22"/>
        <v>21.600000000000001</v>
      </c>
      <c r="J280">
        <f t="shared" si="23"/>
        <v>0.39999999999999858</v>
      </c>
      <c r="Q280">
        <v>4.2000000000000002</v>
      </c>
    </row>
    <row r="281" ht="14.25">
      <c r="A281">
        <v>1764909</v>
      </c>
      <c r="B281">
        <v>1.8700000000000001</v>
      </c>
      <c r="C281">
        <v>76.219999999999999</v>
      </c>
      <c r="D281">
        <v>78</v>
      </c>
      <c r="E281">
        <v>37.200000000000003</v>
      </c>
      <c r="F281">
        <f t="shared" si="20"/>
        <v>29.399999999999999</v>
      </c>
      <c r="G281">
        <f t="shared" si="21"/>
        <v>49.100000000000001</v>
      </c>
      <c r="H281">
        <v>37.5</v>
      </c>
      <c r="I281">
        <f t="shared" si="22"/>
        <v>21.600000000000001</v>
      </c>
      <c r="J281">
        <f t="shared" si="23"/>
        <v>0.29999999999999716</v>
      </c>
      <c r="Q281">
        <v>2.7999999999999998</v>
      </c>
    </row>
    <row r="282" ht="14.25">
      <c r="A282">
        <v>1771212</v>
      </c>
      <c r="B282">
        <v>1.3999999999999999</v>
      </c>
      <c r="C282">
        <v>76.230000000000004</v>
      </c>
      <c r="D282">
        <v>77</v>
      </c>
      <c r="E282">
        <v>37.399999999999999</v>
      </c>
      <c r="F282">
        <f t="shared" si="20"/>
        <v>29.5</v>
      </c>
      <c r="G282">
        <f t="shared" si="21"/>
        <v>48.399999999999999</v>
      </c>
      <c r="H282">
        <v>37.5</v>
      </c>
      <c r="I282">
        <f t="shared" si="22"/>
        <v>21.300000000000001</v>
      </c>
      <c r="J282">
        <f t="shared" si="23"/>
        <v>0.10000000000000142</v>
      </c>
      <c r="Q282">
        <v>4.2000000000000002</v>
      </c>
    </row>
    <row r="283" ht="14.25">
      <c r="A283">
        <v>1777515</v>
      </c>
      <c r="B283">
        <v>1.3999999999999999</v>
      </c>
      <c r="C283">
        <v>76.239999999999995</v>
      </c>
      <c r="D283">
        <v>77</v>
      </c>
      <c r="E283">
        <v>37.299999999999997</v>
      </c>
      <c r="F283">
        <f t="shared" si="20"/>
        <v>29.600000000000001</v>
      </c>
      <c r="G283">
        <f t="shared" si="21"/>
        <v>48.399999999999999</v>
      </c>
      <c r="H283">
        <v>37.5</v>
      </c>
      <c r="I283">
        <f t="shared" si="22"/>
        <v>21.300000000000001</v>
      </c>
      <c r="J283">
        <f t="shared" si="23"/>
        <v>0.20000000000000284</v>
      </c>
      <c r="Q283">
        <v>2.7999999999999998</v>
      </c>
    </row>
    <row r="284" ht="14.25">
      <c r="A284">
        <v>1783818</v>
      </c>
      <c r="B284">
        <v>1.3999999999999999</v>
      </c>
      <c r="C284">
        <v>76.260000000000005</v>
      </c>
      <c r="D284">
        <v>77</v>
      </c>
      <c r="E284">
        <v>37.299999999999997</v>
      </c>
      <c r="F284">
        <f t="shared" si="20"/>
        <v>29.699999999999999</v>
      </c>
      <c r="G284">
        <f t="shared" si="21"/>
        <v>48.399999999999999</v>
      </c>
      <c r="H284">
        <v>37.5</v>
      </c>
      <c r="I284">
        <f t="shared" si="22"/>
        <v>21.300000000000001</v>
      </c>
      <c r="J284">
        <f t="shared" si="23"/>
        <v>0.20000000000000284</v>
      </c>
      <c r="Q284">
        <v>5.5999999999999996</v>
      </c>
    </row>
    <row r="285" ht="14.25">
      <c r="A285">
        <v>1790121</v>
      </c>
      <c r="B285">
        <v>1.8700000000000001</v>
      </c>
      <c r="C285">
        <v>76.280000000000001</v>
      </c>
      <c r="D285">
        <v>78</v>
      </c>
      <c r="E285">
        <v>37.399999999999999</v>
      </c>
      <c r="F285">
        <f t="shared" si="20"/>
        <v>29.800000000000001</v>
      </c>
      <c r="G285">
        <f t="shared" si="21"/>
        <v>49.100000000000001</v>
      </c>
      <c r="H285">
        <v>37.5</v>
      </c>
      <c r="I285">
        <f t="shared" si="22"/>
        <v>21.600000000000001</v>
      </c>
      <c r="J285">
        <f t="shared" si="23"/>
        <v>0.10000000000000142</v>
      </c>
      <c r="Q285">
        <v>4.2000000000000002</v>
      </c>
    </row>
    <row r="286" ht="14.25">
      <c r="A286">
        <v>1796425</v>
      </c>
      <c r="B286">
        <v>3.27</v>
      </c>
      <c r="C286">
        <v>76.310000000000002</v>
      </c>
      <c r="D286">
        <v>79</v>
      </c>
      <c r="E286">
        <v>37.299999999999997</v>
      </c>
      <c r="F286">
        <f t="shared" si="20"/>
        <v>29.899999999999999</v>
      </c>
      <c r="G286">
        <f t="shared" si="21"/>
        <v>49.700000000000003</v>
      </c>
      <c r="H286">
        <v>37.5</v>
      </c>
      <c r="I286">
        <f t="shared" si="22"/>
        <v>21.899999999999999</v>
      </c>
      <c r="J286">
        <f t="shared" si="23"/>
        <v>0.20000000000000284</v>
      </c>
      <c r="Q286">
        <v>2.7999999999999998</v>
      </c>
    </row>
    <row r="287" ht="14.25">
      <c r="Q287">
        <v>2.7999999999999998</v>
      </c>
    </row>
    <row r="288" ht="14.25">
      <c r="Q288">
        <v>1.3999999999999999</v>
      </c>
    </row>
    <row r="289" ht="14.25">
      <c r="Q289">
        <v>4.2000000000000002</v>
      </c>
    </row>
    <row r="290" ht="14.25">
      <c r="Q290">
        <v>2.7999999999999998</v>
      </c>
    </row>
    <row r="291" ht="14.25">
      <c r="Q291">
        <v>1.3999999999999999</v>
      </c>
    </row>
    <row r="292" ht="14.25">
      <c r="Q292">
        <v>4.2000000000000002</v>
      </c>
    </row>
    <row r="293" ht="14.25">
      <c r="Q293">
        <v>2.7999999999999998</v>
      </c>
    </row>
    <row r="294" ht="14.25">
      <c r="Q294">
        <v>4.2000000000000002</v>
      </c>
    </row>
    <row r="295" ht="14.25">
      <c r="Q295">
        <v>4.2000000000000002</v>
      </c>
    </row>
    <row r="296" ht="14.25">
      <c r="Q296">
        <v>2.7999999999999998</v>
      </c>
    </row>
    <row r="297" ht="14.25">
      <c r="Q297">
        <v>-2.7999999999999998</v>
      </c>
    </row>
    <row r="298" ht="14.25">
      <c r="Q298">
        <v>4.2000000000000002</v>
      </c>
    </row>
    <row r="299" ht="14.25">
      <c r="Q299">
        <v>4.2000000000000002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2026-06-07T15:18:45Z</dcterms:modified>
</cp:coreProperties>
</file>