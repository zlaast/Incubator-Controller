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xl/drawings/drawing1.xml" ContentType="application/vnd.openxmlformats-officedocument.drawing+xml"/>
  <Override PartName="/xl/charts/style2.xml" ContentType="application/vnd.ms-office.chartstyle+xml"/>
  <Override PartName="/xl/charts/chart1.xml" ContentType="application/vnd.openxmlformats-officedocument.drawingml.chart+xml"/>
  <Override PartName="/xl/theme/theme1.xml" ContentType="application/vnd.openxmlformats-officedocument.theme+xml"/>
  <Override PartName="/xl/charts/chart2.xml" ContentType="application/vnd.openxmlformats-officedocument.drawingml.chart+xml"/>
  <Override PartName="/xl/charts/style1.xml" ContentType="application/vnd.ms-office.chartstyle+xml"/>
  <Override PartName="/xl/charts/chart3.xml" ContentType="application/vnd.openxmlformats-officedocument.drawingml.chart+xml"/>
  <Override PartName="/xl/charts/colors1.xml" ContentType="application/vnd.ms-office.chartcolorstyle+xml"/>
  <Override PartName="/xl/charts/style3.xml" ContentType="application/vnd.ms-office.chartstyle+xml"/>
  <Override PartName="/xl/sharedStrings.xml" ContentType="application/vnd.openxmlformats-officedocument.spreadsheetml.sharedStrings+xml"/>
  <Override PartName="/xl/charts/colors2.xml" ContentType="application/vnd.ms-office.chartcolor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<sst xmlns="http://schemas.openxmlformats.org/spreadsheetml/2006/main" count="16" uniqueCount="16">
  <si>
    <t xml:space="preserve">Time (ms)</t>
  </si>
  <si>
    <t xml:space="preserve">P Term (Kp=20)</t>
  </si>
  <si>
    <t xml:space="preserve">I Term (Ki=0.14)</t>
  </si>
  <si>
    <t xml:space="preserve">Duty Cycle (/159)</t>
  </si>
  <si>
    <t xml:space="preserve">Temperature (C)</t>
  </si>
  <si>
    <t xml:space="preserve">Time (Minutes)</t>
  </si>
  <si>
    <t xml:space="preserve">Duty Cycle (%)</t>
  </si>
  <si>
    <t xml:space="preserve">Setpoint (C)</t>
  </si>
  <si>
    <t xml:space="preserve">Power (W)</t>
  </si>
  <si>
    <t xml:space="preserve">Error (C)</t>
  </si>
  <si>
    <t xml:space="preserve">Fake Kp (18)</t>
  </si>
  <si>
    <t xml:space="preserve">Fake Kp (16)</t>
  </si>
  <si>
    <t xml:space="preserve">Fake Kp (14)</t>
  </si>
  <si>
    <t xml:space="preserve">Fake Kp (12)</t>
  </si>
  <si>
    <t xml:space="preserve">Fake Kp (10)</t>
  </si>
  <si>
    <t xml:space="preserve">Fake I (0.14)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</si>
</sst>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"/>
        <bgColor theme="9" tint="0"/>
      </patternFill>
    </fill>
    <fill>
      <patternFill patternType="solid">
        <fgColor theme="7" tint="0"/>
        <bgColor theme="7" tint="0"/>
      </patternFill>
    </fill>
    <fill>
      <patternFill patternType="solid">
        <fgColor theme="2" tint="-0.499984740745262"/>
        <bgColor theme="2" tint="-0.499984740745262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0" fillId="2" borderId="0" numFmtId="0" xfId="0" applyFill="1"/>
    <xf fontId="0" fillId="3" borderId="0" numFmtId="0" xfId="0" applyFill="1"/>
    <xf fontId="0" fillId="0" borderId="0" numFmtId="0" xfId="0">
      <protection hidden="0" locked="1"/>
    </xf>
    <xf fontId="0" fillId="4" borderId="0" numFmt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_rels/chart2.xml.rels><?xml version="1.0" encoding="UTF-8" standalone="yes"?><Relationships xmlns="http://schemas.openxmlformats.org/package/2006/relationships"><Relationship Id="rId1" Type="http://schemas.microsoft.com/office/2011/relationships/chartStyle" Target="style2.xml" /><Relationship Id="rId2" Type="http://schemas.microsoft.com/office/2011/relationships/chartColorStyle" Target="colors2.xml" /></Relationships>
</file>

<file path=xl/charts/_rels/chart3.xml.rels><?xml version="1.0" encoding="UTF-8" standalone="yes"?><Relationships xmlns="http://schemas.openxmlformats.org/package/2006/relationships"><Relationship Id="rId1" Type="http://schemas.microsoft.com/office/2011/relationships/chartStyle" Target="style3.xml" /><Relationship Id="rId2" Type="http://schemas.microsoft.com/office/2011/relationships/chartColorStyle" Target="colors3.xml" /></Relationships>
</file>

<file path=xl/charts/_rels/chart4.xml.rels><?xml version="1.0" encoding="UTF-8" standalone="yes"?><Relationships xmlns="http://schemas.openxmlformats.org/package/2006/relationships"><Relationship Id="rId1" Type="http://schemas.microsoft.com/office/2011/relationships/chartStyle" Target="style4.xml" /><Relationship Id="rId2" Type="http://schemas.microsoft.com/office/2011/relationships/chartColorStyle" Target="colors4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/>
            </a:pPr>
            <a:r>
              <a:rPr/>
              <a:t>Temperature over Time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1" cap="none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lineChart>
        <c:grouping val="standar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Temperature (C)</c:v>
                </c:pt>
              </c:strCache>
            </c:strRef>
          </c:tx>
          <c:spPr bwMode="auto">
            <a:prstGeom prst="rect">
              <a:avLst/>
            </a:prstGeom>
            <a:noFill/>
            <a:ln w="12700" cap="rnd" cmpd="sng" algn="ctr">
              <a:solidFill>
                <a:schemeClr val="accent4"/>
              </a:solidFill>
              <a:prstDash val="solid"/>
              <a:miter lim="800000"/>
            </a:ln>
          </c:spPr>
          <c:marker>
            <c:symbol val="none"/>
          </c:marker>
          <c:cat>
            <c:multiLvlStrRef>
              <c:f>Sheet1!$F$2:$G$299</c:f>
              <c:multiLvlStrCache>
                <c:ptCount val="2"/>
                <c:lvl>
                  <c:pt idx="0">
                    <c:v>0.1</c:v>
                  </c:pt>
                  <c:pt idx="1">
                    <c:v>100</c:v>
                  </c:pt>
                </c:lvl>
                <c:lvl>
                  <c:pt idx="0">
                    <c:v>0.2</c:v>
                  </c:pt>
                  <c:pt idx="1">
                    <c:v>100</c:v>
                  </c:pt>
                </c:lvl>
                <c:lvl>
                  <c:pt idx="0">
                    <c:v>0.3</c:v>
                  </c:pt>
                  <c:pt idx="1">
                    <c:v>100</c:v>
                  </c:pt>
                </c:lvl>
                <c:lvl>
                  <c:pt idx="0">
                    <c:v>0.4</c:v>
                  </c:pt>
                  <c:pt idx="1">
                    <c:v>100</c:v>
                  </c:pt>
                </c:lvl>
                <c:lvl>
                  <c:pt idx="0">
                    <c:v>0.5</c:v>
                  </c:pt>
                  <c:pt idx="1">
                    <c:v>100</c:v>
                  </c:pt>
                </c:lvl>
                <c:lvl>
                  <c:pt idx="0">
                    <c:v>0.6</c:v>
                  </c:pt>
                  <c:pt idx="1">
                    <c:v>100</c:v>
                  </c:pt>
                </c:lvl>
                <c:lvl>
                  <c:pt idx="0">
                    <c:v>0.7</c:v>
                  </c:pt>
                  <c:pt idx="1">
                    <c:v>100</c:v>
                  </c:pt>
                </c:lvl>
                <c:lvl>
                  <c:pt idx="0">
                    <c:v>0.8</c:v>
                  </c:pt>
                  <c:pt idx="1">
                    <c:v>100</c:v>
                  </c:pt>
                </c:lvl>
                <c:lvl>
                  <c:pt idx="0">
                    <c:v>0.9</c:v>
                  </c:pt>
                  <c:pt idx="1">
                    <c:v>100</c:v>
                  </c:pt>
                </c:lvl>
                <c:lvl>
                  <c:pt idx="0">
                    <c:v>1.1</c:v>
                  </c:pt>
                  <c:pt idx="1">
                    <c:v>100</c:v>
                  </c:pt>
                </c:lvl>
                <c:lvl>
                  <c:pt idx="0">
                    <c:v>1.2</c:v>
                  </c:pt>
                  <c:pt idx="1">
                    <c:v>100</c:v>
                  </c:pt>
                </c:lvl>
                <c:lvl>
                  <c:pt idx="0">
                    <c:v>1.3</c:v>
                  </c:pt>
                  <c:pt idx="1">
                    <c:v>100</c:v>
                  </c:pt>
                </c:lvl>
                <c:lvl>
                  <c:pt idx="0">
                    <c:v>1.4</c:v>
                  </c:pt>
                  <c:pt idx="1">
                    <c:v>100</c:v>
                  </c:pt>
                </c:lvl>
                <c:lvl>
                  <c:pt idx="0">
                    <c:v>1.5</c:v>
                  </c:pt>
                  <c:pt idx="1">
                    <c:v>100</c:v>
                  </c:pt>
                </c:lvl>
                <c:lvl>
                  <c:pt idx="0">
                    <c:v>1.6</c:v>
                  </c:pt>
                  <c:pt idx="1">
                    <c:v>100</c:v>
                  </c:pt>
                </c:lvl>
                <c:lvl>
                  <c:pt idx="0">
                    <c:v>1.7</c:v>
                  </c:pt>
                  <c:pt idx="1">
                    <c:v>100</c:v>
                  </c:pt>
                </c:lvl>
                <c:lvl>
                  <c:pt idx="0">
                    <c:v>1.8</c:v>
                  </c:pt>
                  <c:pt idx="1">
                    <c:v>100</c:v>
                  </c:pt>
                </c:lvl>
                <c:lvl>
                  <c:pt idx="0">
                    <c:v>1.9</c:v>
                  </c:pt>
                  <c:pt idx="1">
                    <c:v>100</c:v>
                  </c:pt>
                </c:lvl>
                <c:lvl>
                  <c:pt idx="0">
                    <c:v>2</c:v>
                  </c:pt>
                  <c:pt idx="1">
                    <c:v>100</c:v>
                  </c:pt>
                </c:lvl>
                <c:lvl>
                  <c:pt idx="0">
                    <c:v>2.1</c:v>
                  </c:pt>
                  <c:pt idx="1">
                    <c:v>100</c:v>
                  </c:pt>
                </c:lvl>
                <c:lvl>
                  <c:pt idx="0">
                    <c:v>2.2</c:v>
                  </c:pt>
                  <c:pt idx="1">
                    <c:v>100</c:v>
                  </c:pt>
                </c:lvl>
                <c:lvl>
                  <c:pt idx="0">
                    <c:v>2.3</c:v>
                  </c:pt>
                  <c:pt idx="1">
                    <c:v>100</c:v>
                  </c:pt>
                </c:lvl>
                <c:lvl>
                  <c:pt idx="0">
                    <c:v>2.4</c:v>
                  </c:pt>
                  <c:pt idx="1">
                    <c:v>100</c:v>
                  </c:pt>
                </c:lvl>
                <c:lvl>
                  <c:pt idx="0">
                    <c:v>2.5</c:v>
                  </c:pt>
                  <c:pt idx="1">
                    <c:v>100</c:v>
                  </c:pt>
                </c:lvl>
                <c:lvl>
                  <c:pt idx="0">
                    <c:v>2.6</c:v>
                  </c:pt>
                  <c:pt idx="1">
                    <c:v>100</c:v>
                  </c:pt>
                </c:lvl>
                <c:lvl>
                  <c:pt idx="0">
                    <c:v>2.7</c:v>
                  </c:pt>
                  <c:pt idx="1">
                    <c:v>100</c:v>
                  </c:pt>
                </c:lvl>
                <c:lvl>
                  <c:pt idx="0">
                    <c:v>2.8</c:v>
                  </c:pt>
                  <c:pt idx="1">
                    <c:v>100</c:v>
                  </c:pt>
                </c:lvl>
                <c:lvl>
                  <c:pt idx="0">
                    <c:v>2.9</c:v>
                  </c:pt>
                  <c:pt idx="1">
                    <c:v>100</c:v>
                  </c:pt>
                </c:lvl>
                <c:lvl>
                  <c:pt idx="0">
                    <c:v>3</c:v>
                  </c:pt>
                  <c:pt idx="1">
                    <c:v>100</c:v>
                  </c:pt>
                </c:lvl>
                <c:lvl>
                  <c:pt idx="0">
                    <c:v>3.2</c:v>
                  </c:pt>
                  <c:pt idx="1">
                    <c:v>100</c:v>
                  </c:pt>
                </c:lvl>
                <c:lvl>
                  <c:pt idx="0">
                    <c:v>3.3</c:v>
                  </c:pt>
                  <c:pt idx="1">
                    <c:v>100</c:v>
                  </c:pt>
                </c:lvl>
                <c:lvl>
                  <c:pt idx="0">
                    <c:v>3.4</c:v>
                  </c:pt>
                  <c:pt idx="1">
                    <c:v>100</c:v>
                  </c:pt>
                </c:lvl>
                <c:lvl>
                  <c:pt idx="0">
                    <c:v>3.5</c:v>
                  </c:pt>
                  <c:pt idx="1">
                    <c:v>100</c:v>
                  </c:pt>
                </c:lvl>
                <c:lvl>
                  <c:pt idx="0">
                    <c:v>3.6</c:v>
                  </c:pt>
                  <c:pt idx="1">
                    <c:v>100</c:v>
                  </c:pt>
                </c:lvl>
                <c:lvl>
                  <c:pt idx="0">
                    <c:v>3.7</c:v>
                  </c:pt>
                  <c:pt idx="1">
                    <c:v>100</c:v>
                  </c:pt>
                </c:lvl>
                <c:lvl>
                  <c:pt idx="0">
                    <c:v>3.8</c:v>
                  </c:pt>
                  <c:pt idx="1">
                    <c:v>100</c:v>
                  </c:pt>
                </c:lvl>
                <c:lvl>
                  <c:pt idx="0">
                    <c:v>3.9</c:v>
                  </c:pt>
                  <c:pt idx="1">
                    <c:v>100</c:v>
                  </c:pt>
                </c:lvl>
                <c:lvl>
                  <c:pt idx="0">
                    <c:v>4</c:v>
                  </c:pt>
                  <c:pt idx="1">
                    <c:v>100</c:v>
                  </c:pt>
                </c:lvl>
                <c:lvl>
                  <c:pt idx="0">
                    <c:v>4.1</c:v>
                  </c:pt>
                  <c:pt idx="1">
                    <c:v>100</c:v>
                  </c:pt>
                </c:lvl>
                <c:lvl>
                  <c:pt idx="0">
                    <c:v>4.2</c:v>
                  </c:pt>
                  <c:pt idx="1">
                    <c:v>100</c:v>
                  </c:pt>
                </c:lvl>
                <c:lvl>
                  <c:pt idx="0">
                    <c:v>4.3</c:v>
                  </c:pt>
                  <c:pt idx="1">
                    <c:v>100</c:v>
                  </c:pt>
                </c:lvl>
                <c:lvl>
                  <c:pt idx="0">
                    <c:v>4.4</c:v>
                  </c:pt>
                  <c:pt idx="1">
                    <c:v>100</c:v>
                  </c:pt>
                </c:lvl>
                <c:lvl>
                  <c:pt idx="0">
                    <c:v>4.5</c:v>
                  </c:pt>
                  <c:pt idx="1">
                    <c:v>100</c:v>
                  </c:pt>
                </c:lvl>
                <c:lvl>
                  <c:pt idx="0">
                    <c:v>4.6</c:v>
                  </c:pt>
                  <c:pt idx="1">
                    <c:v>100</c:v>
                  </c:pt>
                </c:lvl>
                <c:lvl>
                  <c:pt idx="0">
                    <c:v>4.7</c:v>
                  </c:pt>
                  <c:pt idx="1">
                    <c:v>100</c:v>
                  </c:pt>
                </c:lvl>
                <c:lvl>
                  <c:pt idx="0">
                    <c:v>4.8</c:v>
                  </c:pt>
                  <c:pt idx="1">
                    <c:v>100</c:v>
                  </c:pt>
                </c:lvl>
                <c:lvl>
                  <c:pt idx="0">
                    <c:v>4.9</c:v>
                  </c:pt>
                  <c:pt idx="1">
                    <c:v>100</c:v>
                  </c:pt>
                </c:lvl>
                <c:lvl>
                  <c:pt idx="0">
                    <c:v>5</c:v>
                  </c:pt>
                  <c:pt idx="1">
                    <c:v>100</c:v>
                  </c:pt>
                </c:lvl>
                <c:lvl>
                  <c:pt idx="0">
                    <c:v>5.1</c:v>
                  </c:pt>
                  <c:pt idx="1">
                    <c:v>100</c:v>
                  </c:pt>
                </c:lvl>
                <c:lvl>
                  <c:pt idx="0">
                    <c:v>5.3</c:v>
                  </c:pt>
                  <c:pt idx="1">
                    <c:v>100</c:v>
                  </c:pt>
                </c:lvl>
                <c:lvl>
                  <c:pt idx="0">
                    <c:v>5.4</c:v>
                  </c:pt>
                  <c:pt idx="1">
                    <c:v>100</c:v>
                  </c:pt>
                </c:lvl>
                <c:lvl>
                  <c:pt idx="0">
                    <c:v>5.5</c:v>
                  </c:pt>
                  <c:pt idx="1">
                    <c:v>100</c:v>
                  </c:pt>
                </c:lvl>
                <c:lvl>
                  <c:pt idx="0">
                    <c:v>5.6</c:v>
                  </c:pt>
                  <c:pt idx="1">
                    <c:v>99.4</c:v>
                  </c:pt>
                </c:lvl>
                <c:lvl>
                  <c:pt idx="0">
                    <c:v>5.7</c:v>
                  </c:pt>
                  <c:pt idx="1">
                    <c:v>95</c:v>
                  </c:pt>
                </c:lvl>
                <c:lvl>
                  <c:pt idx="0">
                    <c:v>5.8</c:v>
                  </c:pt>
                  <c:pt idx="1">
                    <c:v>91.8</c:v>
                  </c:pt>
                </c:lvl>
                <c:lvl>
                  <c:pt idx="0">
                    <c:v>5.9</c:v>
                  </c:pt>
                  <c:pt idx="1">
                    <c:v>91.8</c:v>
                  </c:pt>
                </c:lvl>
                <c:lvl>
                  <c:pt idx="0">
                    <c:v>6</c:v>
                  </c:pt>
                  <c:pt idx="1">
                    <c:v>87.4</c:v>
                  </c:pt>
                </c:lvl>
                <c:lvl>
                  <c:pt idx="0">
                    <c:v>6.1</c:v>
                  </c:pt>
                  <c:pt idx="1">
                    <c:v>84.9</c:v>
                  </c:pt>
                </c:lvl>
                <c:lvl>
                  <c:pt idx="0">
                    <c:v>6.2</c:v>
                  </c:pt>
                  <c:pt idx="1">
                    <c:v>83</c:v>
                  </c:pt>
                </c:lvl>
                <c:lvl>
                  <c:pt idx="0">
                    <c:v>6.3</c:v>
                  </c:pt>
                  <c:pt idx="1">
                    <c:v>79.9</c:v>
                  </c:pt>
                </c:lvl>
                <c:lvl>
                  <c:pt idx="0">
                    <c:v>6.4</c:v>
                  </c:pt>
                  <c:pt idx="1">
                    <c:v>75.5</c:v>
                  </c:pt>
                </c:lvl>
                <c:lvl>
                  <c:pt idx="0">
                    <c:v>6.5</c:v>
                  </c:pt>
                  <c:pt idx="1">
                    <c:v>73</c:v>
                  </c:pt>
                </c:lvl>
                <c:lvl>
                  <c:pt idx="0">
                    <c:v>6.6</c:v>
                  </c:pt>
                  <c:pt idx="1">
                    <c:v>71.1</c:v>
                  </c:pt>
                </c:lvl>
                <c:lvl>
                  <c:pt idx="0">
                    <c:v>6.7</c:v>
                  </c:pt>
                  <c:pt idx="1">
                    <c:v>68.6</c:v>
                  </c:pt>
                </c:lvl>
                <c:lvl>
                  <c:pt idx="0">
                    <c:v>6.8</c:v>
                  </c:pt>
                  <c:pt idx="1">
                    <c:v>65.4</c:v>
                  </c:pt>
                </c:lvl>
                <c:lvl>
                  <c:pt idx="0">
                    <c:v>6.9</c:v>
                  </c:pt>
                  <c:pt idx="1">
                    <c:v>64.2</c:v>
                  </c:pt>
                </c:lvl>
                <c:lvl>
                  <c:pt idx="0">
                    <c:v>7</c:v>
                  </c:pt>
                  <c:pt idx="1">
                    <c:v>58.5</c:v>
                  </c:pt>
                </c:lvl>
                <c:lvl>
                  <c:pt idx="0">
                    <c:v>7.1</c:v>
                  </c:pt>
                  <c:pt idx="1">
                    <c:v>57.9</c:v>
                  </c:pt>
                </c:lvl>
                <c:lvl>
                  <c:pt idx="0">
                    <c:v>7.2</c:v>
                  </c:pt>
                  <c:pt idx="1">
                    <c:v>54.1</c:v>
                  </c:pt>
                </c:lvl>
                <c:lvl>
                  <c:pt idx="0">
                    <c:v>7.4</c:v>
                  </c:pt>
                  <c:pt idx="1">
                    <c:v>52.8</c:v>
                  </c:pt>
                </c:lvl>
                <c:lvl>
                  <c:pt idx="0">
                    <c:v>7.5</c:v>
                  </c:pt>
                  <c:pt idx="1">
                    <c:v>50.3</c:v>
                  </c:pt>
                </c:lvl>
                <c:lvl>
                  <c:pt idx="0">
                    <c:v>7.6</c:v>
                  </c:pt>
                  <c:pt idx="1">
                    <c:v>49.1</c:v>
                  </c:pt>
                </c:lvl>
                <c:lvl>
                  <c:pt idx="0">
                    <c:v>7.7</c:v>
                  </c:pt>
                  <c:pt idx="1">
                    <c:v>45.3</c:v>
                  </c:pt>
                </c:lvl>
                <c:lvl>
                  <c:pt idx="0">
                    <c:v>7.8</c:v>
                  </c:pt>
                  <c:pt idx="1">
                    <c:v>42.8</c:v>
                  </c:pt>
                </c:lvl>
                <c:lvl>
                  <c:pt idx="0">
                    <c:v>7.9</c:v>
                  </c:pt>
                  <c:pt idx="1">
                    <c:v>40.9</c:v>
                  </c:pt>
                </c:lvl>
                <c:lvl>
                  <c:pt idx="0">
                    <c:v>8</c:v>
                  </c:pt>
                  <c:pt idx="1">
                    <c:v>39</c:v>
                  </c:pt>
                </c:lvl>
                <c:lvl>
                  <c:pt idx="0">
                    <c:v>8.1</c:v>
                  </c:pt>
                  <c:pt idx="1">
                    <c:v>35.8</c:v>
                  </c:pt>
                </c:lvl>
                <c:lvl>
                  <c:pt idx="0">
                    <c:v>8.2</c:v>
                  </c:pt>
                  <c:pt idx="1">
                    <c:v>35.8</c:v>
                  </c:pt>
                </c:lvl>
                <c:lvl>
                  <c:pt idx="0">
                    <c:v>8.3</c:v>
                  </c:pt>
                  <c:pt idx="1">
                    <c:v>33.3</c:v>
                  </c:pt>
                </c:lvl>
                <c:lvl>
                  <c:pt idx="0">
                    <c:v>8.4</c:v>
                  </c:pt>
                  <c:pt idx="1">
                    <c:v>32.1</c:v>
                  </c:pt>
                </c:lvl>
                <c:lvl>
                  <c:pt idx="0">
                    <c:v>8.5</c:v>
                  </c:pt>
                  <c:pt idx="1">
                    <c:v>30.8</c:v>
                  </c:pt>
                </c:lvl>
                <c:lvl>
                  <c:pt idx="0">
                    <c:v>8.6</c:v>
                  </c:pt>
                  <c:pt idx="1">
                    <c:v>28.9</c:v>
                  </c:pt>
                </c:lvl>
                <c:lvl>
                  <c:pt idx="0">
                    <c:v>8.7</c:v>
                  </c:pt>
                  <c:pt idx="1">
                    <c:v>28.3</c:v>
                  </c:pt>
                </c:lvl>
                <c:lvl>
                  <c:pt idx="0">
                    <c:v>8.8</c:v>
                  </c:pt>
                  <c:pt idx="1">
                    <c:v>27</c:v>
                  </c:pt>
                </c:lvl>
                <c:lvl>
                  <c:pt idx="0">
                    <c:v>8.9</c:v>
                  </c:pt>
                  <c:pt idx="1">
                    <c:v>27.7</c:v>
                  </c:pt>
                </c:lvl>
                <c:lvl>
                  <c:pt idx="0">
                    <c:v>9</c:v>
                  </c:pt>
                  <c:pt idx="1">
                    <c:v>24.5</c:v>
                  </c:pt>
                </c:lvl>
                <c:lvl>
                  <c:pt idx="0">
                    <c:v>9.1</c:v>
                  </c:pt>
                  <c:pt idx="1">
                    <c:v>22.6</c:v>
                  </c:pt>
                </c:lvl>
                <c:lvl>
                  <c:pt idx="0">
                    <c:v>9.2</c:v>
                  </c:pt>
                  <c:pt idx="1">
                    <c:v>22.6</c:v>
                  </c:pt>
                </c:lvl>
                <c:lvl>
                  <c:pt idx="0">
                    <c:v>9.3</c:v>
                  </c:pt>
                  <c:pt idx="1">
                    <c:v>21.4</c:v>
                  </c:pt>
                </c:lvl>
                <c:lvl>
                  <c:pt idx="0">
                    <c:v>9.5</c:v>
                  </c:pt>
                  <c:pt idx="1">
                    <c:v>20.8</c:v>
                  </c:pt>
                </c:lvl>
                <c:lvl>
                  <c:pt idx="0">
                    <c:v>9.6</c:v>
                  </c:pt>
                  <c:pt idx="1">
                    <c:v>20.1</c:v>
                  </c:pt>
                </c:lvl>
                <c:lvl>
                  <c:pt idx="0">
                    <c:v>9.7</c:v>
                  </c:pt>
                  <c:pt idx="1">
                    <c:v>18.9</c:v>
                  </c:pt>
                </c:lvl>
                <c:lvl>
                  <c:pt idx="0">
                    <c:v>9.8</c:v>
                  </c:pt>
                  <c:pt idx="1">
                    <c:v>18.9</c:v>
                  </c:pt>
                </c:lvl>
                <c:lvl>
                  <c:pt idx="0">
                    <c:v>9.9</c:v>
                  </c:pt>
                  <c:pt idx="1">
                    <c:v>18.2</c:v>
                  </c:pt>
                </c:lvl>
                <c:lvl>
                  <c:pt idx="0">
                    <c:v>10</c:v>
                  </c:pt>
                  <c:pt idx="1">
                    <c:v>17.6</c:v>
                  </c:pt>
                </c:lvl>
                <c:lvl>
                  <c:pt idx="0">
                    <c:v>10.1</c:v>
                  </c:pt>
                  <c:pt idx="1">
                    <c:v>17.6</c:v>
                  </c:pt>
                </c:lvl>
                <c:lvl>
                  <c:pt idx="0">
                    <c:v>10.2</c:v>
                  </c:pt>
                  <c:pt idx="1">
                    <c:v>17</c:v>
                  </c:pt>
                </c:lvl>
                <c:lvl>
                  <c:pt idx="0">
                    <c:v>10.3</c:v>
                  </c:pt>
                  <c:pt idx="1">
                    <c:v>16.4</c:v>
                  </c:pt>
                </c:lvl>
                <c:lvl>
                  <c:pt idx="0">
                    <c:v>10.4</c:v>
                  </c:pt>
                  <c:pt idx="1">
                    <c:v>17</c:v>
                  </c:pt>
                </c:lvl>
                <c:lvl>
                  <c:pt idx="0">
                    <c:v>10.5</c:v>
                  </c:pt>
                  <c:pt idx="1">
                    <c:v>17</c:v>
                  </c:pt>
                </c:lvl>
                <c:lvl>
                  <c:pt idx="0">
                    <c:v>10.6</c:v>
                  </c:pt>
                  <c:pt idx="1">
                    <c:v>18.2</c:v>
                  </c:pt>
                </c:lvl>
                <c:lvl>
                  <c:pt idx="0">
                    <c:v>10.7</c:v>
                  </c:pt>
                  <c:pt idx="1">
                    <c:v>17</c:v>
                  </c:pt>
                </c:lvl>
                <c:lvl>
                  <c:pt idx="0">
                    <c:v>10.8</c:v>
                  </c:pt>
                  <c:pt idx="1">
                    <c:v>17.6</c:v>
                  </c:pt>
                </c:lvl>
                <c:lvl>
                  <c:pt idx="0">
                    <c:v>10.9</c:v>
                  </c:pt>
                  <c:pt idx="1">
                    <c:v>17.6</c:v>
                  </c:pt>
                </c:lvl>
                <c:lvl>
                  <c:pt idx="0">
                    <c:v>11</c:v>
                  </c:pt>
                  <c:pt idx="1">
                    <c:v>16.4</c:v>
                  </c:pt>
                </c:lvl>
                <c:lvl>
                  <c:pt idx="0">
                    <c:v>11.1</c:v>
                  </c:pt>
                  <c:pt idx="1">
                    <c:v>18.2</c:v>
                  </c:pt>
                </c:lvl>
                <c:lvl>
                  <c:pt idx="0">
                    <c:v>11.2</c:v>
                  </c:pt>
                  <c:pt idx="1">
                    <c:v>17.6</c:v>
                  </c:pt>
                </c:lvl>
                <c:lvl>
                  <c:pt idx="0">
                    <c:v>11.3</c:v>
                  </c:pt>
                  <c:pt idx="1">
                    <c:v>18.2</c:v>
                  </c:pt>
                </c:lvl>
                <c:lvl>
                  <c:pt idx="0">
                    <c:v>11.5</c:v>
                  </c:pt>
                  <c:pt idx="1">
                    <c:v>20.8</c:v>
                  </c:pt>
                </c:lvl>
                <c:lvl>
                  <c:pt idx="0">
                    <c:v>11.6</c:v>
                  </c:pt>
                  <c:pt idx="1">
                    <c:v>18.9</c:v>
                  </c:pt>
                </c:lvl>
                <c:lvl>
                  <c:pt idx="0">
                    <c:v>11.7</c:v>
                  </c:pt>
                  <c:pt idx="1">
                    <c:v>19.5</c:v>
                  </c:pt>
                </c:lvl>
                <c:lvl>
                  <c:pt idx="0">
                    <c:v>11.8</c:v>
                  </c:pt>
                  <c:pt idx="1">
                    <c:v>20.8</c:v>
                  </c:pt>
                </c:lvl>
                <c:lvl>
                  <c:pt idx="0">
                    <c:v>11.9</c:v>
                  </c:pt>
                  <c:pt idx="1">
                    <c:v>22</c:v>
                  </c:pt>
                </c:lvl>
                <c:lvl>
                  <c:pt idx="0">
                    <c:v>12</c:v>
                  </c:pt>
                  <c:pt idx="1">
                    <c:v>21.4</c:v>
                  </c:pt>
                </c:lvl>
                <c:lvl>
                  <c:pt idx="0">
                    <c:v>12.1</c:v>
                  </c:pt>
                  <c:pt idx="1">
                    <c:v>22.6</c:v>
                  </c:pt>
                </c:lvl>
                <c:lvl>
                  <c:pt idx="0">
                    <c:v>12.2</c:v>
                  </c:pt>
                  <c:pt idx="1">
                    <c:v>22.6</c:v>
                  </c:pt>
                </c:lvl>
                <c:lvl>
                  <c:pt idx="0">
                    <c:v>12.3</c:v>
                  </c:pt>
                  <c:pt idx="1">
                    <c:v>24.5</c:v>
                  </c:pt>
                </c:lvl>
                <c:lvl>
                  <c:pt idx="0">
                    <c:v>12.4</c:v>
                  </c:pt>
                  <c:pt idx="1">
                    <c:v>24.5</c:v>
                  </c:pt>
                </c:lvl>
                <c:lvl>
                  <c:pt idx="0">
                    <c:v>12.5</c:v>
                  </c:pt>
                  <c:pt idx="1">
                    <c:v>23.9</c:v>
                  </c:pt>
                </c:lvl>
                <c:lvl>
                  <c:pt idx="0">
                    <c:v>12.6</c:v>
                  </c:pt>
                  <c:pt idx="1">
                    <c:v>26.4</c:v>
                  </c:pt>
                </c:lvl>
                <c:lvl>
                  <c:pt idx="0">
                    <c:v>12.7</c:v>
                  </c:pt>
                  <c:pt idx="1">
                    <c:v>25.8</c:v>
                  </c:pt>
                </c:lvl>
                <c:lvl>
                  <c:pt idx="0">
                    <c:v>12.8</c:v>
                  </c:pt>
                  <c:pt idx="1">
                    <c:v>27</c:v>
                  </c:pt>
                </c:lvl>
                <c:lvl>
                  <c:pt idx="0">
                    <c:v>12.9</c:v>
                  </c:pt>
                  <c:pt idx="1">
                    <c:v>28.3</c:v>
                  </c:pt>
                </c:lvl>
                <c:lvl>
                  <c:pt idx="0">
                    <c:v>13</c:v>
                  </c:pt>
                  <c:pt idx="1">
                    <c:v>28.9</c:v>
                  </c:pt>
                </c:lvl>
                <c:lvl>
                  <c:pt idx="0">
                    <c:v>13.1</c:v>
                  </c:pt>
                  <c:pt idx="1">
                    <c:v>29.6</c:v>
                  </c:pt>
                </c:lvl>
                <c:lvl>
                  <c:pt idx="0">
                    <c:v>13.2</c:v>
                  </c:pt>
                  <c:pt idx="1">
                    <c:v>28.3</c:v>
                  </c:pt>
                </c:lvl>
                <c:lvl>
                  <c:pt idx="0">
                    <c:v>13.3</c:v>
                  </c:pt>
                  <c:pt idx="1">
                    <c:v>30.8</c:v>
                  </c:pt>
                </c:lvl>
                <c:lvl>
                  <c:pt idx="0">
                    <c:v>13.4</c:v>
                  </c:pt>
                  <c:pt idx="1">
                    <c:v>31.4</c:v>
                  </c:pt>
                </c:lvl>
                <c:lvl>
                  <c:pt idx="0">
                    <c:v>13.6</c:v>
                  </c:pt>
                  <c:pt idx="1">
                    <c:v>33.3</c:v>
                  </c:pt>
                </c:lvl>
                <c:lvl>
                  <c:pt idx="0">
                    <c:v>13.7</c:v>
                  </c:pt>
                  <c:pt idx="1">
                    <c:v>32.1</c:v>
                  </c:pt>
                </c:lvl>
                <c:lvl>
                  <c:pt idx="0">
                    <c:v>13.8</c:v>
                  </c:pt>
                  <c:pt idx="1">
                    <c:v>33.3</c:v>
                  </c:pt>
                </c:lvl>
                <c:lvl>
                  <c:pt idx="0">
                    <c:v>13.9</c:v>
                  </c:pt>
                  <c:pt idx="1">
                    <c:v>33.3</c:v>
                  </c:pt>
                </c:lvl>
                <c:lvl>
                  <c:pt idx="0">
                    <c:v>14</c:v>
                  </c:pt>
                  <c:pt idx="1">
                    <c:v>35.2</c:v>
                  </c:pt>
                </c:lvl>
                <c:lvl>
                  <c:pt idx="0">
                    <c:v>14.1</c:v>
                  </c:pt>
                  <c:pt idx="1">
                    <c:v>35.8</c:v>
                  </c:pt>
                </c:lvl>
                <c:lvl>
                  <c:pt idx="0">
                    <c:v>14.2</c:v>
                  </c:pt>
                  <c:pt idx="1">
                    <c:v>37.1</c:v>
                  </c:pt>
                </c:lvl>
                <c:lvl>
                  <c:pt idx="0">
                    <c:v>14.3</c:v>
                  </c:pt>
                  <c:pt idx="1">
                    <c:v>38.4</c:v>
                  </c:pt>
                </c:lvl>
                <c:lvl>
                  <c:pt idx="0">
                    <c:v>14.4</c:v>
                  </c:pt>
                  <c:pt idx="1">
                    <c:v>38.4</c:v>
                  </c:pt>
                </c:lvl>
                <c:lvl>
                  <c:pt idx="0">
                    <c:v>14.5</c:v>
                  </c:pt>
                  <c:pt idx="1">
                    <c:v>39</c:v>
                  </c:pt>
                </c:lvl>
                <c:lvl>
                  <c:pt idx="0">
                    <c:v>14.6</c:v>
                  </c:pt>
                  <c:pt idx="1">
                    <c:v>39.6</c:v>
                  </c:pt>
                </c:lvl>
                <c:lvl>
                  <c:pt idx="0">
                    <c:v>14.7</c:v>
                  </c:pt>
                  <c:pt idx="1">
                    <c:v>41.5</c:v>
                  </c:pt>
                </c:lvl>
                <c:lvl>
                  <c:pt idx="0">
                    <c:v>14.8</c:v>
                  </c:pt>
                  <c:pt idx="1">
                    <c:v>40.9</c:v>
                  </c:pt>
                </c:lvl>
                <c:lvl>
                  <c:pt idx="0">
                    <c:v>14.9</c:v>
                  </c:pt>
                  <c:pt idx="1">
                    <c:v>42.1</c:v>
                  </c:pt>
                </c:lvl>
                <c:lvl>
                  <c:pt idx="0">
                    <c:v>15</c:v>
                  </c:pt>
                  <c:pt idx="1">
                    <c:v>42.1</c:v>
                  </c:pt>
                </c:lvl>
                <c:lvl>
                  <c:pt idx="0">
                    <c:v>15.1</c:v>
                  </c:pt>
                  <c:pt idx="1">
                    <c:v>44.7</c:v>
                  </c:pt>
                </c:lvl>
                <c:lvl>
                  <c:pt idx="0">
                    <c:v>15.2</c:v>
                  </c:pt>
                  <c:pt idx="1">
                    <c:v>42.8</c:v>
                  </c:pt>
                </c:lvl>
                <c:lvl>
                  <c:pt idx="0">
                    <c:v>15.3</c:v>
                  </c:pt>
                  <c:pt idx="1">
                    <c:v>44.7</c:v>
                  </c:pt>
                </c:lvl>
                <c:lvl>
                  <c:pt idx="0">
                    <c:v>15.4</c:v>
                  </c:pt>
                  <c:pt idx="1">
                    <c:v>45.9</c:v>
                  </c:pt>
                </c:lvl>
                <c:lvl>
                  <c:pt idx="0">
                    <c:v>15.5</c:v>
                  </c:pt>
                  <c:pt idx="1">
                    <c:v>45.9</c:v>
                  </c:pt>
                </c:lvl>
                <c:lvl>
                  <c:pt idx="0">
                    <c:v>15.7</c:v>
                  </c:pt>
                  <c:pt idx="1">
                    <c:v>45.9</c:v>
                  </c:pt>
                </c:lvl>
                <c:lvl>
                  <c:pt idx="0">
                    <c:v>15.8</c:v>
                  </c:pt>
                  <c:pt idx="1">
                    <c:v>46.5</c:v>
                  </c:pt>
                </c:lvl>
                <c:lvl>
                  <c:pt idx="0">
                    <c:v>15.9</c:v>
                  </c:pt>
                  <c:pt idx="1">
                    <c:v>47.2</c:v>
                  </c:pt>
                </c:lvl>
                <c:lvl>
                  <c:pt idx="0">
                    <c:v>16</c:v>
                  </c:pt>
                  <c:pt idx="1">
                    <c:v>47.8</c:v>
                  </c:pt>
                </c:lvl>
                <c:lvl>
                  <c:pt idx="0">
                    <c:v>16.1</c:v>
                  </c:pt>
                  <c:pt idx="1">
                    <c:v>49.1</c:v>
                  </c:pt>
                </c:lvl>
                <c:lvl>
                  <c:pt idx="0">
                    <c:v>16.2</c:v>
                  </c:pt>
                  <c:pt idx="1">
                    <c:v>48.4</c:v>
                  </c:pt>
                </c:lvl>
                <c:lvl>
                  <c:pt idx="0">
                    <c:v>16.3</c:v>
                  </c:pt>
                  <c:pt idx="1">
                    <c:v>49.7</c:v>
                  </c:pt>
                </c:lvl>
                <c:lvl>
                  <c:pt idx="0">
                    <c:v>16.4</c:v>
                  </c:pt>
                  <c:pt idx="1">
                    <c:v>49.7</c:v>
                  </c:pt>
                </c:lvl>
                <c:lvl>
                  <c:pt idx="0">
                    <c:v>16.5</c:v>
                  </c:pt>
                  <c:pt idx="1">
                    <c:v>49.7</c:v>
                  </c:pt>
                </c:lvl>
                <c:lvl>
                  <c:pt idx="0">
                    <c:v>16.6</c:v>
                  </c:pt>
                  <c:pt idx="1">
                    <c:v>52.2</c:v>
                  </c:pt>
                </c:lvl>
                <c:lvl>
                  <c:pt idx="0">
                    <c:v>16.7</c:v>
                  </c:pt>
                  <c:pt idx="1">
                    <c:v>51.6</c:v>
                  </c:pt>
                </c:lvl>
                <c:lvl>
                  <c:pt idx="0">
                    <c:v>16.8</c:v>
                  </c:pt>
                  <c:pt idx="1">
                    <c:v>51.6</c:v>
                  </c:pt>
                </c:lvl>
                <c:lvl>
                  <c:pt idx="0">
                    <c:v>16.9</c:v>
                  </c:pt>
                  <c:pt idx="1">
                    <c:v>53.5</c:v>
                  </c:pt>
                </c:lvl>
                <c:lvl>
                  <c:pt idx="0">
                    <c:v>17</c:v>
                  </c:pt>
                  <c:pt idx="1">
                    <c:v>51.6</c:v>
                  </c:pt>
                </c:lvl>
                <c:lvl>
                  <c:pt idx="0">
                    <c:v>17.1</c:v>
                  </c:pt>
                  <c:pt idx="1">
                    <c:v>51.6</c:v>
                  </c:pt>
                </c:lvl>
                <c:lvl>
                  <c:pt idx="0">
                    <c:v>17.2</c:v>
                  </c:pt>
                  <c:pt idx="1">
                    <c:v>52.2</c:v>
                  </c:pt>
                </c:lvl>
                <c:lvl>
                  <c:pt idx="0">
                    <c:v>17.3</c:v>
                  </c:pt>
                  <c:pt idx="1">
                    <c:v>52.2</c:v>
                  </c:pt>
                </c:lvl>
                <c:lvl>
                  <c:pt idx="0">
                    <c:v>17.4</c:v>
                  </c:pt>
                  <c:pt idx="1">
                    <c:v>56</c:v>
                  </c:pt>
                </c:lvl>
                <c:lvl>
                  <c:pt idx="0">
                    <c:v>17.5</c:v>
                  </c:pt>
                  <c:pt idx="1">
                    <c:v>54.1</c:v>
                  </c:pt>
                </c:lvl>
                <c:lvl>
                  <c:pt idx="0">
                    <c:v>17.6</c:v>
                  </c:pt>
                  <c:pt idx="1">
                    <c:v>53.5</c:v>
                  </c:pt>
                </c:lvl>
                <c:lvl>
                  <c:pt idx="0">
                    <c:v>17.8</c:v>
                  </c:pt>
                  <c:pt idx="1">
                    <c:v>52.8</c:v>
                  </c:pt>
                </c:lvl>
                <c:lvl>
                  <c:pt idx="0">
                    <c:v>17.9</c:v>
                  </c:pt>
                  <c:pt idx="1">
                    <c:v>52.8</c:v>
                  </c:pt>
                </c:lvl>
                <c:lvl>
                  <c:pt idx="0">
                    <c:v>18</c:v>
                  </c:pt>
                  <c:pt idx="1">
                    <c:v>54.7</c:v>
                  </c:pt>
                </c:lvl>
                <c:lvl>
                  <c:pt idx="0">
                    <c:v>18.1</c:v>
                  </c:pt>
                  <c:pt idx="1">
                    <c:v>53.5</c:v>
                  </c:pt>
                </c:lvl>
                <c:lvl>
                  <c:pt idx="0">
                    <c:v>18.2</c:v>
                  </c:pt>
                  <c:pt idx="1">
                    <c:v>52.8</c:v>
                  </c:pt>
                </c:lvl>
                <c:lvl>
                  <c:pt idx="0">
                    <c:v>18.3</c:v>
                  </c:pt>
                  <c:pt idx="1">
                    <c:v>54.7</c:v>
                  </c:pt>
                </c:lvl>
                <c:lvl>
                  <c:pt idx="0">
                    <c:v>18.4</c:v>
                  </c:pt>
                  <c:pt idx="1">
                    <c:v>54.1</c:v>
                  </c:pt>
                </c:lvl>
                <c:lvl>
                  <c:pt idx="0">
                    <c:v>18.5</c:v>
                  </c:pt>
                  <c:pt idx="1">
                    <c:v>54.7</c:v>
                  </c:pt>
                </c:lvl>
                <c:lvl>
                  <c:pt idx="0">
                    <c:v>18.6</c:v>
                  </c:pt>
                  <c:pt idx="1">
                    <c:v>55.3</c:v>
                  </c:pt>
                </c:lvl>
                <c:lvl>
                  <c:pt idx="0">
                    <c:v>18.7</c:v>
                  </c:pt>
                  <c:pt idx="1">
                    <c:v>54.7</c:v>
                  </c:pt>
                </c:lvl>
                <c:lvl>
                  <c:pt idx="0">
                    <c:v>18.8</c:v>
                  </c:pt>
                  <c:pt idx="1">
                    <c:v>56</c:v>
                  </c:pt>
                </c:lvl>
                <c:lvl>
                  <c:pt idx="0">
                    <c:v>18.9</c:v>
                  </c:pt>
                  <c:pt idx="1">
                    <c:v>54.1</c:v>
                  </c:pt>
                </c:lvl>
                <c:lvl>
                  <c:pt idx="0">
                    <c:v>19</c:v>
                  </c:pt>
                  <c:pt idx="1">
                    <c:v>56</c:v>
                  </c:pt>
                </c:lvl>
                <c:lvl>
                  <c:pt idx="0">
                    <c:v>19.1</c:v>
                  </c:pt>
                  <c:pt idx="1">
                    <c:v>55.3</c:v>
                  </c:pt>
                </c:lvl>
                <c:lvl>
                  <c:pt idx="0">
                    <c:v>19.2</c:v>
                  </c:pt>
                  <c:pt idx="1">
                    <c:v>54.7</c:v>
                  </c:pt>
                </c:lvl>
                <c:lvl>
                  <c:pt idx="0">
                    <c:v>19.3</c:v>
                  </c:pt>
                  <c:pt idx="1">
                    <c:v>55.3</c:v>
                  </c:pt>
                </c:lvl>
                <c:lvl>
                  <c:pt idx="0">
                    <c:v>19.4</c:v>
                  </c:pt>
                  <c:pt idx="1">
                    <c:v>55.3</c:v>
                  </c:pt>
                </c:lvl>
                <c:lvl>
                  <c:pt idx="0">
                    <c:v>19.5</c:v>
                  </c:pt>
                  <c:pt idx="1">
                    <c:v>55.3</c:v>
                  </c:pt>
                </c:lvl>
                <c:lvl>
                  <c:pt idx="0">
                    <c:v>19.6</c:v>
                  </c:pt>
                  <c:pt idx="1">
                    <c:v>54.7</c:v>
                  </c:pt>
                </c:lvl>
                <c:lvl>
                  <c:pt idx="0">
                    <c:v>19.8</c:v>
                  </c:pt>
                  <c:pt idx="1">
                    <c:v>54.7</c:v>
                  </c:pt>
                </c:lvl>
                <c:lvl>
                  <c:pt idx="0">
                    <c:v>19.9</c:v>
                  </c:pt>
                  <c:pt idx="1">
                    <c:v>55.3</c:v>
                  </c:pt>
                </c:lvl>
                <c:lvl>
                  <c:pt idx="0">
                    <c:v>20</c:v>
                  </c:pt>
                  <c:pt idx="1">
                    <c:v>53.5</c:v>
                  </c:pt>
                </c:lvl>
                <c:lvl>
                  <c:pt idx="0">
                    <c:v>20.1</c:v>
                  </c:pt>
                  <c:pt idx="1">
                    <c:v>55.3</c:v>
                  </c:pt>
                </c:lvl>
                <c:lvl>
                  <c:pt idx="0">
                    <c:v>20.2</c:v>
                  </c:pt>
                  <c:pt idx="1">
                    <c:v>54.1</c:v>
                  </c:pt>
                </c:lvl>
                <c:lvl>
                  <c:pt idx="0">
                    <c:v>20.3</c:v>
                  </c:pt>
                  <c:pt idx="1">
                    <c:v>53.5</c:v>
                  </c:pt>
                </c:lvl>
                <c:lvl>
                  <c:pt idx="0">
                    <c:v>20.4</c:v>
                  </c:pt>
                  <c:pt idx="1">
                    <c:v>53.5</c:v>
                  </c:pt>
                </c:lvl>
                <c:lvl>
                  <c:pt idx="0">
                    <c:v>20.5</c:v>
                  </c:pt>
                  <c:pt idx="1">
                    <c:v>53.5</c:v>
                  </c:pt>
                </c:lvl>
                <c:lvl>
                  <c:pt idx="0">
                    <c:v>20.6</c:v>
                  </c:pt>
                  <c:pt idx="1">
                    <c:v>54.7</c:v>
                  </c:pt>
                </c:lvl>
                <c:lvl>
                  <c:pt idx="0">
                    <c:v>20.7</c:v>
                  </c:pt>
                  <c:pt idx="1">
                    <c:v>54.1</c:v>
                  </c:pt>
                </c:lvl>
                <c:lvl>
                  <c:pt idx="0">
                    <c:v>20.8</c:v>
                  </c:pt>
                  <c:pt idx="1">
                    <c:v>54.1</c:v>
                  </c:pt>
                </c:lvl>
                <c:lvl>
                  <c:pt idx="0">
                    <c:v>20.9</c:v>
                  </c:pt>
                  <c:pt idx="1">
                    <c:v>53.5</c:v>
                  </c:pt>
                </c:lvl>
                <c:lvl>
                  <c:pt idx="0">
                    <c:v>21</c:v>
                  </c:pt>
                  <c:pt idx="1">
                    <c:v>54.1</c:v>
                  </c:pt>
                </c:lvl>
                <c:lvl>
                  <c:pt idx="0">
                    <c:v>21.1</c:v>
                  </c:pt>
                  <c:pt idx="1">
                    <c:v>54.1</c:v>
                  </c:pt>
                </c:lvl>
                <c:lvl>
                  <c:pt idx="0">
                    <c:v>21.2</c:v>
                  </c:pt>
                  <c:pt idx="1">
                    <c:v>52.8</c:v>
                  </c:pt>
                </c:lvl>
                <c:lvl>
                  <c:pt idx="0">
                    <c:v>21.3</c:v>
                  </c:pt>
                  <c:pt idx="1">
                    <c:v>52.8</c:v>
                  </c:pt>
                </c:lvl>
                <c:lvl>
                  <c:pt idx="0">
                    <c:v>21.4</c:v>
                  </c:pt>
                  <c:pt idx="1">
                    <c:v>54.1</c:v>
                  </c:pt>
                </c:lvl>
                <c:lvl>
                  <c:pt idx="0">
                    <c:v>21.5</c:v>
                  </c:pt>
                  <c:pt idx="1">
                    <c:v>52.2</c:v>
                  </c:pt>
                </c:lvl>
                <c:lvl>
                  <c:pt idx="0">
                    <c:v>21.6</c:v>
                  </c:pt>
                  <c:pt idx="1">
                    <c:v>53.5</c:v>
                  </c:pt>
                </c:lvl>
                <c:lvl>
                  <c:pt idx="0">
                    <c:v>21.7</c:v>
                  </c:pt>
                  <c:pt idx="1">
                    <c:v>53.5</c:v>
                  </c:pt>
                </c:lvl>
                <c:lvl>
                  <c:pt idx="0">
                    <c:v>21.9</c:v>
                  </c:pt>
                  <c:pt idx="1">
                    <c:v>52.2</c:v>
                  </c:pt>
                </c:lvl>
                <c:lvl>
                  <c:pt idx="0">
                    <c:v>22</c:v>
                  </c:pt>
                  <c:pt idx="1">
                    <c:v>50.3</c:v>
                  </c:pt>
                </c:lvl>
                <c:lvl>
                  <c:pt idx="0">
                    <c:v>22.1</c:v>
                  </c:pt>
                  <c:pt idx="1">
                    <c:v>50.9</c:v>
                  </c:pt>
                </c:lvl>
                <c:lvl>
                  <c:pt idx="0">
                    <c:v>22.2</c:v>
                  </c:pt>
                  <c:pt idx="1">
                    <c:v>52.8</c:v>
                  </c:pt>
                </c:lvl>
                <c:lvl>
                  <c:pt idx="0">
                    <c:v>22.3</c:v>
                  </c:pt>
                  <c:pt idx="1">
                    <c:v>50.9</c:v>
                  </c:pt>
                </c:lvl>
                <c:lvl>
                  <c:pt idx="0">
                    <c:v>22.4</c:v>
                  </c:pt>
                  <c:pt idx="1">
                    <c:v>52.2</c:v>
                  </c:pt>
                </c:lvl>
                <c:lvl>
                  <c:pt idx="0">
                    <c:v>22.5</c:v>
                  </c:pt>
                  <c:pt idx="1">
                    <c:v>50.3</c:v>
                  </c:pt>
                </c:lvl>
                <c:lvl>
                  <c:pt idx="0">
                    <c:v>22.6</c:v>
                  </c:pt>
                  <c:pt idx="1">
                    <c:v>49.7</c:v>
                  </c:pt>
                </c:lvl>
                <c:lvl>
                  <c:pt idx="0">
                    <c:v>22.7</c:v>
                  </c:pt>
                  <c:pt idx="1">
                    <c:v>50.9</c:v>
                  </c:pt>
                </c:lvl>
                <c:lvl>
                  <c:pt idx="0">
                    <c:v>22.8</c:v>
                  </c:pt>
                  <c:pt idx="1">
                    <c:v>49.1</c:v>
                  </c:pt>
                </c:lvl>
                <c:lvl>
                  <c:pt idx="0">
                    <c:v>22.9</c:v>
                  </c:pt>
                  <c:pt idx="1">
                    <c:v>50.9</c:v>
                  </c:pt>
                </c:lvl>
                <c:lvl>
                  <c:pt idx="0">
                    <c:v>23</c:v>
                  </c:pt>
                  <c:pt idx="1">
                    <c:v>49.7</c:v>
                  </c:pt>
                </c:lvl>
                <c:lvl>
                  <c:pt idx="0">
                    <c:v>23.1</c:v>
                  </c:pt>
                  <c:pt idx="1">
                    <c:v>50.3</c:v>
                  </c:pt>
                </c:lvl>
                <c:lvl>
                  <c:pt idx="0">
                    <c:v>23.2</c:v>
                  </c:pt>
                  <c:pt idx="1">
                    <c:v>50.9</c:v>
                  </c:pt>
                </c:lvl>
                <c:lvl>
                  <c:pt idx="0">
                    <c:v>23.3</c:v>
                  </c:pt>
                  <c:pt idx="1">
                    <c:v>49.1</c:v>
                  </c:pt>
                </c:lvl>
                <c:lvl>
                  <c:pt idx="0">
                    <c:v>23.4</c:v>
                  </c:pt>
                  <c:pt idx="1">
                    <c:v>50.3</c:v>
                  </c:pt>
                </c:lvl>
                <c:lvl>
                  <c:pt idx="0">
                    <c:v>23.5</c:v>
                  </c:pt>
                  <c:pt idx="1">
                    <c:v>50.3</c:v>
                  </c:pt>
                </c:lvl>
                <c:lvl>
                  <c:pt idx="0">
                    <c:v>23.6</c:v>
                  </c:pt>
                  <c:pt idx="1">
                    <c:v>47.8</c:v>
                  </c:pt>
                </c:lvl>
                <c:lvl>
                  <c:pt idx="0">
                    <c:v>23.7</c:v>
                  </c:pt>
                  <c:pt idx="1">
                    <c:v>49.7</c:v>
                  </c:pt>
                </c:lvl>
                <c:lvl>
                  <c:pt idx="0">
                    <c:v>23.8</c:v>
                  </c:pt>
                  <c:pt idx="1">
                    <c:v>49.7</c:v>
                  </c:pt>
                </c:lvl>
                <c:lvl>
                  <c:pt idx="0">
                    <c:v>24</c:v>
                  </c:pt>
                  <c:pt idx="1">
                    <c:v>49.7</c:v>
                  </c:pt>
                </c:lvl>
                <c:lvl>
                  <c:pt idx="0">
                    <c:v>24.1</c:v>
                  </c:pt>
                  <c:pt idx="1">
                    <c:v>49.7</c:v>
                  </c:pt>
                </c:lvl>
                <c:lvl>
                  <c:pt idx="0">
                    <c:v>24.2</c:v>
                  </c:pt>
                  <c:pt idx="1">
                    <c:v>48.4</c:v>
                  </c:pt>
                </c:lvl>
                <c:lvl>
                  <c:pt idx="0">
                    <c:v>24.3</c:v>
                  </c:pt>
                  <c:pt idx="1">
                    <c:v>48.4</c:v>
                  </c:pt>
                </c:lvl>
                <c:lvl>
                  <c:pt idx="0">
                    <c:v>24.4</c:v>
                  </c:pt>
                  <c:pt idx="1">
                    <c:v>49.7</c:v>
                  </c:pt>
                </c:lvl>
                <c:lvl>
                  <c:pt idx="0">
                    <c:v>24.5</c:v>
                  </c:pt>
                  <c:pt idx="1">
                    <c:v>49.1</c:v>
                  </c:pt>
                </c:lvl>
                <c:lvl>
                  <c:pt idx="0">
                    <c:v>24.6</c:v>
                  </c:pt>
                  <c:pt idx="1">
                    <c:v>49.7</c:v>
                  </c:pt>
                </c:lvl>
                <c:lvl>
                  <c:pt idx="0">
                    <c:v>24.7</c:v>
                  </c:pt>
                  <c:pt idx="1">
                    <c:v>49.7</c:v>
                  </c:pt>
                </c:lvl>
                <c:lvl>
                  <c:pt idx="0">
                    <c:v>24.8</c:v>
                  </c:pt>
                  <c:pt idx="1">
                    <c:v>49.1</c:v>
                  </c:pt>
                </c:lvl>
                <c:lvl>
                  <c:pt idx="0">
                    <c:v>24.9</c:v>
                  </c:pt>
                  <c:pt idx="1">
                    <c:v>49.1</c:v>
                  </c:pt>
                </c:lvl>
                <c:lvl>
                  <c:pt idx="0">
                    <c:v>25</c:v>
                  </c:pt>
                  <c:pt idx="1">
                    <c:v>49.7</c:v>
                  </c:pt>
                </c:lvl>
                <c:lvl>
                  <c:pt idx="0">
                    <c:v>25.1</c:v>
                  </c:pt>
                  <c:pt idx="1">
                    <c:v>47.2</c:v>
                  </c:pt>
                </c:lvl>
                <c:lvl>
                  <c:pt idx="0">
                    <c:v>25.2</c:v>
                  </c:pt>
                  <c:pt idx="1">
                    <c:v>49.1</c:v>
                  </c:pt>
                </c:lvl>
                <c:lvl>
                  <c:pt idx="0">
                    <c:v>25.3</c:v>
                  </c:pt>
                  <c:pt idx="1">
                    <c:v>49.1</c:v>
                  </c:pt>
                </c:lvl>
                <c:lvl>
                  <c:pt idx="0">
                    <c:v>25.4</c:v>
                  </c:pt>
                  <c:pt idx="1">
                    <c:v>47.8</c:v>
                  </c:pt>
                </c:lvl>
                <c:lvl>
                  <c:pt idx="0">
                    <c:v>25.5</c:v>
                  </c:pt>
                  <c:pt idx="1">
                    <c:v>48.4</c:v>
                  </c:pt>
                </c:lvl>
                <c:lvl>
                  <c:pt idx="0">
                    <c:v>25.6</c:v>
                  </c:pt>
                  <c:pt idx="1">
                    <c:v>48.4</c:v>
                  </c:pt>
                </c:lvl>
                <c:lvl>
                  <c:pt idx="0">
                    <c:v>25.7</c:v>
                  </c:pt>
                  <c:pt idx="1">
                    <c:v>47.2</c:v>
                  </c:pt>
                </c:lvl>
                <c:lvl>
                  <c:pt idx="0">
                    <c:v>25.8</c:v>
                  </c:pt>
                  <c:pt idx="1">
                    <c:v>49.1</c:v>
                  </c:pt>
                </c:lvl>
                <c:lvl>
                  <c:pt idx="0">
                    <c:v>25.9</c:v>
                  </c:pt>
                  <c:pt idx="1">
                    <c:v>47.2</c:v>
                  </c:pt>
                </c:lvl>
                <c:lvl>
                  <c:pt idx="0">
                    <c:v>26.1</c:v>
                  </c:pt>
                  <c:pt idx="1">
                    <c:v>49.1</c:v>
                  </c:pt>
                </c:lvl>
                <c:lvl>
                  <c:pt idx="0">
                    <c:v>26.2</c:v>
                  </c:pt>
                  <c:pt idx="1">
                    <c:v>49.1</c:v>
                  </c:pt>
                </c:lvl>
                <c:lvl>
                  <c:pt idx="0">
                    <c:v>26.3</c:v>
                  </c:pt>
                  <c:pt idx="1">
                    <c:v>49.1</c:v>
                  </c:pt>
                </c:lvl>
                <c:lvl>
                  <c:pt idx="0">
                    <c:v>26.4</c:v>
                  </c:pt>
                  <c:pt idx="1">
                    <c:v>48.4</c:v>
                  </c:pt>
                </c:lvl>
                <c:lvl>
                  <c:pt idx="0">
                    <c:v>26.5</c:v>
                  </c:pt>
                  <c:pt idx="1">
                    <c:v>47.2</c:v>
                  </c:pt>
                </c:lvl>
                <c:lvl>
                  <c:pt idx="0">
                    <c:v>26.6</c:v>
                  </c:pt>
                  <c:pt idx="1">
                    <c:v>48.4</c:v>
                  </c:pt>
                </c:lvl>
                <c:lvl>
                  <c:pt idx="0">
                    <c:v>26.7</c:v>
                  </c:pt>
                  <c:pt idx="1">
                    <c:v>48.4</c:v>
                  </c:pt>
                </c:lvl>
                <c:lvl>
                  <c:pt idx="0">
                    <c:v>26.8</c:v>
                  </c:pt>
                  <c:pt idx="1">
                    <c:v>47.2</c:v>
                  </c:pt>
                </c:lvl>
                <c:lvl>
                  <c:pt idx="0">
                    <c:v>26.9</c:v>
                  </c:pt>
                  <c:pt idx="1">
                    <c:v>48.4</c:v>
                  </c:pt>
                </c:lvl>
                <c:lvl>
                  <c:pt idx="0">
                    <c:v>27</c:v>
                  </c:pt>
                  <c:pt idx="1">
                    <c:v>47.8</c:v>
                  </c:pt>
                </c:lvl>
                <c:lvl>
                  <c:pt idx="0">
                    <c:v>27.1</c:v>
                  </c:pt>
                  <c:pt idx="1">
                    <c:v>48.4</c:v>
                  </c:pt>
                </c:lvl>
                <c:lvl>
                  <c:pt idx="0">
                    <c:v>27.2</c:v>
                  </c:pt>
                  <c:pt idx="1">
                    <c:v>49.1</c:v>
                  </c:pt>
                </c:lvl>
                <c:lvl>
                  <c:pt idx="0">
                    <c:v>27.3</c:v>
                  </c:pt>
                  <c:pt idx="1">
                    <c:v>48.4</c:v>
                  </c:pt>
                </c:lvl>
                <c:lvl>
                  <c:pt idx="0">
                    <c:v>27.4</c:v>
                  </c:pt>
                  <c:pt idx="1">
                    <c:v>47.2</c:v>
                  </c:pt>
                </c:lvl>
                <c:lvl>
                  <c:pt idx="0">
                    <c:v>27.5</c:v>
                  </c:pt>
                  <c:pt idx="1">
                    <c:v>49.1</c:v>
                  </c:pt>
                </c:lvl>
                <c:lvl>
                  <c:pt idx="0">
                    <c:v>27.6</c:v>
                  </c:pt>
                  <c:pt idx="1">
                    <c:v>49.1</c:v>
                  </c:pt>
                </c:lvl>
                <c:lvl>
                  <c:pt idx="0">
                    <c:v>27.7</c:v>
                  </c:pt>
                  <c:pt idx="1">
                    <c:v>48.4</c:v>
                  </c:pt>
                </c:lvl>
                <c:lvl>
                  <c:pt idx="0">
                    <c:v>27.8</c:v>
                  </c:pt>
                  <c:pt idx="1">
                    <c:v>49.1</c:v>
                  </c:pt>
                </c:lvl>
                <c:lvl>
                  <c:pt idx="0">
                    <c:v>27.9</c:v>
                  </c:pt>
                  <c:pt idx="1">
                    <c:v>50.3</c:v>
                  </c:pt>
                </c:lvl>
                <c:lvl>
                  <c:pt idx="0">
                    <c:v>28</c:v>
                  </c:pt>
                  <c:pt idx="1">
                    <c:v>50.3</c:v>
                  </c:pt>
                </c:lvl>
                <c:lvl>
                  <c:pt idx="0">
                    <c:v>28.2</c:v>
                  </c:pt>
                  <c:pt idx="1">
                    <c:v>46.5</c:v>
                  </c:pt>
                </c:lvl>
                <c:lvl>
                  <c:pt idx="0">
                    <c:v>28.3</c:v>
                  </c:pt>
                  <c:pt idx="1">
                    <c:v>48.4</c:v>
                  </c:pt>
                </c:lvl>
                <c:lvl>
                  <c:pt idx="0">
                    <c:v>28.4</c:v>
                  </c:pt>
                  <c:pt idx="1">
                    <c:v>47.8</c:v>
                  </c:pt>
                </c:lvl>
                <c:lvl>
                  <c:pt idx="0">
                    <c:v>28.5</c:v>
                  </c:pt>
                  <c:pt idx="1">
                    <c:v>48.4</c:v>
                  </c:pt>
                </c:lvl>
                <c:lvl>
                  <c:pt idx="0">
                    <c:v>28.6</c:v>
                  </c:pt>
                  <c:pt idx="1">
                    <c:v>49.1</c:v>
                  </c:pt>
                </c:lvl>
                <c:lvl>
                  <c:pt idx="0">
                    <c:v>28.7</c:v>
                  </c:pt>
                  <c:pt idx="1">
                    <c:v>48.4</c:v>
                  </c:pt>
                </c:lvl>
                <c:lvl>
                  <c:pt idx="0">
                    <c:v>28.8</c:v>
                  </c:pt>
                  <c:pt idx="1">
                    <c:v>49.7</c:v>
                  </c:pt>
                </c:lvl>
                <c:lvl>
                  <c:pt idx="0">
                    <c:v>28.9</c:v>
                  </c:pt>
                  <c:pt idx="1">
                    <c:v>48.4</c:v>
                  </c:pt>
                </c:lvl>
                <c:lvl>
                  <c:pt idx="0">
                    <c:v>29</c:v>
                  </c:pt>
                  <c:pt idx="1">
                    <c:v>48.4</c:v>
                  </c:pt>
                </c:lvl>
                <c:lvl>
                  <c:pt idx="0">
                    <c:v>29.1</c:v>
                  </c:pt>
                  <c:pt idx="1">
                    <c:v>49.7</c:v>
                  </c:pt>
                </c:lvl>
                <c:lvl>
                  <c:pt idx="0">
                    <c:v>29.2</c:v>
                  </c:pt>
                  <c:pt idx="1">
                    <c:v>48.4</c:v>
                  </c:pt>
                </c:lvl>
                <c:lvl>
                  <c:pt idx="0">
                    <c:v>29.3</c:v>
                  </c:pt>
                  <c:pt idx="1">
                    <c:v>48.4</c:v>
                  </c:pt>
                </c:lvl>
                <c:lvl>
                  <c:pt idx="0">
                    <c:v>29.4</c:v>
                  </c:pt>
                  <c:pt idx="1">
                    <c:v>49.7</c:v>
                  </c:pt>
                </c:lvl>
                <c:lvl>
                  <c:pt idx="0">
                    <c:v>29.5</c:v>
                  </c:pt>
                  <c:pt idx="1">
                    <c:v>49.7</c:v>
                  </c:pt>
                </c:lvl>
                <c:lvl>
                  <c:pt idx="0">
                    <c:v>29.6</c:v>
                  </c:pt>
                  <c:pt idx="1">
                    <c:v>49.1</c:v>
                  </c:pt>
                </c:lvl>
                <c:lvl>
                  <c:pt idx="0">
                    <c:v>29.7</c:v>
                  </c:pt>
                  <c:pt idx="1">
                    <c:v>50.3</c:v>
                  </c:pt>
                </c:lvl>
                <c:lvl>
                  <c:pt idx="0">
                    <c:v>29.8</c:v>
                  </c:pt>
                  <c:pt idx="1">
                    <c:v>50.3</c:v>
                  </c:pt>
                </c:lvl>
                <c:lvl>
                  <c:pt idx="0">
                    <c:v>29.9</c:v>
                  </c:pt>
                  <c:pt idx="1">
                    <c:v>49.1</c:v>
                  </c:pt>
                </c:lvl>
                <c:lvl>
                  <c:pt idx="0">
                    <c:v>30</c:v>
                  </c:pt>
                  <c:pt idx="1">
                    <c:v>47.8</c:v>
                  </c:pt>
                </c:lvl>
                <c:lvl>
                  <c:pt idx="0">
                    <c:v>30.2</c:v>
                  </c:pt>
                  <c:pt idx="1">
                    <c:v>49.1</c:v>
                  </c:pt>
                </c:lvl>
                <c:lvl>
                  <c:pt idx="0">
                    <c:v>30.3</c:v>
                  </c:pt>
                  <c:pt idx="1">
                    <c:v>50.3</c:v>
                  </c:pt>
                </c:lvl>
                <c:lvl>
                  <c:pt idx="0">
                    <c:v>30.4</c:v>
                  </c:pt>
                  <c:pt idx="1">
                    <c:v>50.3</c:v>
                  </c:pt>
                </c:lvl>
                <c:lvl>
                  <c:pt idx="0">
                    <c:v>30.5</c:v>
                  </c:pt>
                  <c:pt idx="1">
                    <c:v>49.1</c:v>
                  </c:pt>
                </c:lvl>
                <c:lvl>
                  <c:pt idx="0">
                    <c:v>30.6</c:v>
                  </c:pt>
                  <c:pt idx="1">
                    <c:v>49.7</c:v>
                  </c:pt>
                </c:lvl>
                <c:lvl>
                  <c:pt idx="0">
                    <c:v>30.7</c:v>
                  </c:pt>
                  <c:pt idx="1">
                    <c:v>49.1</c:v>
                  </c:pt>
                </c:lvl>
                <c:lvl>
                  <c:pt idx="0">
                    <c:v>30.8</c:v>
                  </c:pt>
                  <c:pt idx="1">
                    <c:v>50.3</c:v>
                  </c:pt>
                </c:lvl>
                <c:lvl>
                  <c:pt idx="0">
                    <c:v>30.9</c:v>
                  </c:pt>
                  <c:pt idx="1">
                    <c:v>50.3</c:v>
                  </c:pt>
                </c:lvl>
                <c:lvl>
                  <c:pt idx="0">
                    <c:v>31</c:v>
                  </c:pt>
                  <c:pt idx="1">
                    <c:v>49.7</c:v>
                  </c:pt>
                </c:lvl>
                <c:lvl>
                  <c:pt idx="0">
                    <c:v>31.1</c:v>
                  </c:pt>
                  <c:pt idx="1">
                    <c:v>47.8</c:v>
                  </c:pt>
                </c:lvl>
                <c:lvl>
                  <c:pt idx="0">
                    <c:v>31.2</c:v>
                  </c:pt>
                  <c:pt idx="1">
                    <c:v>49.7</c:v>
                  </c:pt>
                </c:lvl>
                <c:lvl>
                  <c:pt idx="0">
                    <c:v>31.3</c:v>
                  </c:pt>
                  <c:pt idx="1">
                    <c:v>48.4</c:v>
                  </c:pt>
                </c:lvl>
              </c:multiLvlStrCache>
            </c:multiLvlStrRef>
          </c:cat>
          <c:val>
            <c:numRef>
              <c:f>Sheet1!$E$2:$E$299</c:f>
              <c:numCache>
                <c:formatCode>General</c:formatCode>
                <c:ptCount val="298"/>
                <c:pt idx="0">
                  <c:v>24.3</c:v>
                </c:pt>
                <c:pt idx="1">
                  <c:v>24.6</c:v>
                </c:pt>
                <c:pt idx="2">
                  <c:v>24.3</c:v>
                </c:pt>
                <c:pt idx="3">
                  <c:v>24.2</c:v>
                </c:pt>
                <c:pt idx="4">
                  <c:v>24.4</c:v>
                </c:pt>
                <c:pt idx="5">
                  <c:v>24.4</c:v>
                </c:pt>
                <c:pt idx="6">
                  <c:v>24.7</c:v>
                </c:pt>
                <c:pt idx="7">
                  <c:v>24.4</c:v>
                </c:pt>
                <c:pt idx="8">
                  <c:v>24.5</c:v>
                </c:pt>
                <c:pt idx="9">
                  <c:v>24.6</c:v>
                </c:pt>
                <c:pt idx="10">
                  <c:v>24.6</c:v>
                </c:pt>
                <c:pt idx="11">
                  <c:v>25</c:v>
                </c:pt>
                <c:pt idx="12">
                  <c:v>24.8</c:v>
                </c:pt>
                <c:pt idx="13">
                  <c:v>24.9</c:v>
                </c:pt>
                <c:pt idx="14">
                  <c:v>25</c:v>
                </c:pt>
                <c:pt idx="15">
                  <c:v>25.1</c:v>
                </c:pt>
                <c:pt idx="16">
                  <c:v>25.2</c:v>
                </c:pt>
                <c:pt idx="17">
                  <c:v>25.7</c:v>
                </c:pt>
                <c:pt idx="18">
                  <c:v>25.5</c:v>
                </c:pt>
                <c:pt idx="19">
                  <c:v>25.7</c:v>
                </c:pt>
                <c:pt idx="20">
                  <c:v>25.8</c:v>
                </c:pt>
                <c:pt idx="21">
                  <c:v>26.1</c:v>
                </c:pt>
                <c:pt idx="22">
                  <c:v>26.4</c:v>
                </c:pt>
                <c:pt idx="23">
                  <c:v>26.5</c:v>
                </c:pt>
                <c:pt idx="24">
                  <c:v>26.6</c:v>
                </c:pt>
                <c:pt idx="25">
                  <c:v>26.9</c:v>
                </c:pt>
                <c:pt idx="26">
                  <c:v>27.1</c:v>
                </c:pt>
                <c:pt idx="27">
                  <c:v>27.1</c:v>
                </c:pt>
                <c:pt idx="28">
                  <c:v>27.5</c:v>
                </c:pt>
                <c:pt idx="29">
                  <c:v>27.8</c:v>
                </c:pt>
                <c:pt idx="30">
                  <c:v>28.1</c:v>
                </c:pt>
                <c:pt idx="31">
                  <c:v>28.3</c:v>
                </c:pt>
                <c:pt idx="32">
                  <c:v>28.3</c:v>
                </c:pt>
                <c:pt idx="33">
                  <c:v>28.5</c:v>
                </c:pt>
                <c:pt idx="34">
                  <c:v>29.1</c:v>
                </c:pt>
                <c:pt idx="35">
                  <c:v>28.9</c:v>
                </c:pt>
                <c:pt idx="36">
                  <c:v>29.6</c:v>
                </c:pt>
                <c:pt idx="37">
                  <c:v>29.6</c:v>
                </c:pt>
                <c:pt idx="38">
                  <c:v>29.8</c:v>
                </c:pt>
                <c:pt idx="39">
                  <c:v>30</c:v>
                </c:pt>
                <c:pt idx="40">
                  <c:v>30.3</c:v>
                </c:pt>
                <c:pt idx="41">
                  <c:v>30.8</c:v>
                </c:pt>
                <c:pt idx="42">
                  <c:v>30.8</c:v>
                </c:pt>
                <c:pt idx="43">
                  <c:v>31.2</c:v>
                </c:pt>
                <c:pt idx="44">
                  <c:v>31.3</c:v>
                </c:pt>
                <c:pt idx="45">
                  <c:v>31.7</c:v>
                </c:pt>
                <c:pt idx="46">
                  <c:v>31.9</c:v>
                </c:pt>
                <c:pt idx="47">
                  <c:v>32.2</c:v>
                </c:pt>
                <c:pt idx="48">
                  <c:v>32.2</c:v>
                </c:pt>
                <c:pt idx="49">
                  <c:v>32.5</c:v>
                </c:pt>
                <c:pt idx="50">
                  <c:v>32.8</c:v>
                </c:pt>
                <c:pt idx="51">
                  <c:v>33.3</c:v>
                </c:pt>
                <c:pt idx="52">
                  <c:v>33.3</c:v>
                </c:pt>
                <c:pt idx="53">
                  <c:v>33.8</c:v>
                </c:pt>
                <c:pt idx="54">
                  <c:v>34.1</c:v>
                </c:pt>
                <c:pt idx="55">
                  <c:v>34</c:v>
                </c:pt>
                <c:pt idx="56">
                  <c:v>34.3</c:v>
                </c:pt>
                <c:pt idx="57">
                  <c:v>34.6</c:v>
                </c:pt>
                <c:pt idx="58">
                  <c:v>34.8</c:v>
                </c:pt>
                <c:pt idx="59">
                  <c:v>35.1</c:v>
                </c:pt>
                <c:pt idx="60">
                  <c:v>35.5</c:v>
                </c:pt>
                <c:pt idx="61">
                  <c:v>35.7</c:v>
                </c:pt>
                <c:pt idx="62">
                  <c:v>35.9</c:v>
                </c:pt>
                <c:pt idx="63">
                  <c:v>36</c:v>
                </c:pt>
                <c:pt idx="64">
                  <c:v>36.2</c:v>
                </c:pt>
                <c:pt idx="65">
                  <c:v>36.4</c:v>
                </c:pt>
                <c:pt idx="66">
                  <c:v>36.7</c:v>
                </c:pt>
                <c:pt idx="67">
                  <c:v>36.8</c:v>
                </c:pt>
                <c:pt idx="68">
                  <c:v>37.1</c:v>
                </c:pt>
                <c:pt idx="69">
                  <c:v>37.4</c:v>
                </c:pt>
                <c:pt idx="70">
                  <c:v>37.5</c:v>
                </c:pt>
                <c:pt idx="71">
                  <c:v>37.6</c:v>
                </c:pt>
                <c:pt idx="72">
                  <c:v>37.9</c:v>
                </c:pt>
                <c:pt idx="73">
                  <c:v>38.1</c:v>
                </c:pt>
                <c:pt idx="74">
                  <c:v>38.2</c:v>
                </c:pt>
                <c:pt idx="75">
                  <c:v>38.5</c:v>
                </c:pt>
                <c:pt idx="76">
                  <c:v>38.5</c:v>
                </c:pt>
                <c:pt idx="77">
                  <c:v>38.5</c:v>
                </c:pt>
                <c:pt idx="78">
                  <c:v>38.7</c:v>
                </c:pt>
                <c:pt idx="79">
                  <c:v>38.9</c:v>
                </c:pt>
                <c:pt idx="80">
                  <c:v>39.1</c:v>
                </c:pt>
                <c:pt idx="81">
                  <c:v>39</c:v>
                </c:pt>
                <c:pt idx="82">
                  <c:v>39.2</c:v>
                </c:pt>
                <c:pt idx="83">
                  <c:v>39</c:v>
                </c:pt>
                <c:pt idx="84">
                  <c:v>39.1</c:v>
                </c:pt>
                <c:pt idx="85">
                  <c:v>39.3</c:v>
                </c:pt>
                <c:pt idx="86">
                  <c:v>39.3</c:v>
                </c:pt>
                <c:pt idx="87">
                  <c:v>39.4</c:v>
                </c:pt>
                <c:pt idx="88">
                  <c:v>39.6</c:v>
                </c:pt>
                <c:pt idx="89">
                  <c:v>39.7</c:v>
                </c:pt>
                <c:pt idx="90">
                  <c:v>39.6</c:v>
                </c:pt>
                <c:pt idx="91">
                  <c:v>39.6</c:v>
                </c:pt>
                <c:pt idx="92">
                  <c:v>39.7</c:v>
                </c:pt>
                <c:pt idx="93">
                  <c:v>39.7</c:v>
                </c:pt>
                <c:pt idx="94">
                  <c:v>39.7</c:v>
                </c:pt>
                <c:pt idx="95">
                  <c:v>39.8</c:v>
                </c:pt>
                <c:pt idx="96">
                  <c:v>39.7</c:v>
                </c:pt>
                <c:pt idx="97">
                  <c:v>39.8</c:v>
                </c:pt>
                <c:pt idx="98">
                  <c:v>39.9</c:v>
                </c:pt>
                <c:pt idx="99">
                  <c:v>39.7</c:v>
                </c:pt>
                <c:pt idx="100">
                  <c:v>39.6</c:v>
                </c:pt>
                <c:pt idx="101">
                  <c:v>39.7</c:v>
                </c:pt>
                <c:pt idx="102">
                  <c:v>39.6</c:v>
                </c:pt>
                <c:pt idx="103">
                  <c:v>39.6</c:v>
                </c:pt>
                <c:pt idx="104">
                  <c:v>39.7</c:v>
                </c:pt>
                <c:pt idx="105">
                  <c:v>39.5</c:v>
                </c:pt>
                <c:pt idx="106">
                  <c:v>39.5</c:v>
                </c:pt>
                <c:pt idx="107">
                  <c:v>39.4</c:v>
                </c:pt>
                <c:pt idx="108">
                  <c:v>39.3</c:v>
                </c:pt>
                <c:pt idx="109">
                  <c:v>39.5</c:v>
                </c:pt>
                <c:pt idx="110">
                  <c:v>39.3</c:v>
                </c:pt>
                <c:pt idx="111">
                  <c:v>39.2</c:v>
                </c:pt>
                <c:pt idx="112">
                  <c:v>39</c:v>
                </c:pt>
                <c:pt idx="113">
                  <c:v>39.3</c:v>
                </c:pt>
                <c:pt idx="114">
                  <c:v>39.2</c:v>
                </c:pt>
                <c:pt idx="115">
                  <c:v>39.1</c:v>
                </c:pt>
                <c:pt idx="116">
                  <c:v>38.8</c:v>
                </c:pt>
                <c:pt idx="117">
                  <c:v>38.8</c:v>
                </c:pt>
                <c:pt idx="118">
                  <c:v>38.9</c:v>
                </c:pt>
                <c:pt idx="119">
                  <c:v>38.8</c:v>
                </c:pt>
                <c:pt idx="120">
                  <c:v>38.5</c:v>
                </c:pt>
                <c:pt idx="121">
                  <c:v>38.7</c:v>
                </c:pt>
                <c:pt idx="122">
                  <c:v>38.6</c:v>
                </c:pt>
                <c:pt idx="123">
                  <c:v>38.4</c:v>
                </c:pt>
                <c:pt idx="124">
                  <c:v>38.5</c:v>
                </c:pt>
                <c:pt idx="125">
                  <c:v>38.6</c:v>
                </c:pt>
                <c:pt idx="126">
                  <c:v>38.4</c:v>
                </c:pt>
                <c:pt idx="127">
                  <c:v>38.3</c:v>
                </c:pt>
                <c:pt idx="128">
                  <c:v>38.2</c:v>
                </c:pt>
                <c:pt idx="129">
                  <c:v>38.2</c:v>
                </c:pt>
                <c:pt idx="130">
                  <c:v>38</c:v>
                </c:pt>
                <c:pt idx="131">
                  <c:v>38.1</c:v>
                </c:pt>
                <c:pt idx="132">
                  <c:v>38</c:v>
                </c:pt>
                <c:pt idx="133">
                  <c:v>38</c:v>
                </c:pt>
                <c:pt idx="134">
                  <c:v>37.9</c:v>
                </c:pt>
                <c:pt idx="135">
                  <c:v>37.6</c:v>
                </c:pt>
                <c:pt idx="136">
                  <c:v>37.7</c:v>
                </c:pt>
                <c:pt idx="137">
                  <c:v>37.7</c:v>
                </c:pt>
                <c:pt idx="138">
                  <c:v>37.5</c:v>
                </c:pt>
                <c:pt idx="139">
                  <c:v>37.3</c:v>
                </c:pt>
                <c:pt idx="140">
                  <c:v>37.4</c:v>
                </c:pt>
                <c:pt idx="141">
                  <c:v>37.4</c:v>
                </c:pt>
                <c:pt idx="142">
                  <c:v>37.3</c:v>
                </c:pt>
                <c:pt idx="143">
                  <c:v>37.2</c:v>
                </c:pt>
                <c:pt idx="144">
                  <c:v>37.4</c:v>
                </c:pt>
                <c:pt idx="145">
                  <c:v>37.1</c:v>
                </c:pt>
                <c:pt idx="146">
                  <c:v>37.1</c:v>
                </c:pt>
                <c:pt idx="147">
                  <c:v>37.1</c:v>
                </c:pt>
                <c:pt idx="148">
                  <c:v>37.1</c:v>
                </c:pt>
                <c:pt idx="149">
                  <c:v>37</c:v>
                </c:pt>
                <c:pt idx="150">
                  <c:v>37</c:v>
                </c:pt>
                <c:pt idx="151">
                  <c:v>36.8</c:v>
                </c:pt>
                <c:pt idx="152">
                  <c:v>36.8</c:v>
                </c:pt>
                <c:pt idx="153">
                  <c:v>37</c:v>
                </c:pt>
                <c:pt idx="154">
                  <c:v>36.8</c:v>
                </c:pt>
                <c:pt idx="155">
                  <c:v>36.8</c:v>
                </c:pt>
                <c:pt idx="156">
                  <c:v>36.9</c:v>
                </c:pt>
                <c:pt idx="157">
                  <c:v>36.3</c:v>
                </c:pt>
                <c:pt idx="158">
                  <c:v>36.6</c:v>
                </c:pt>
                <c:pt idx="159">
                  <c:v>36.7</c:v>
                </c:pt>
                <c:pt idx="160">
                  <c:v>36.4</c:v>
                </c:pt>
                <c:pt idx="161">
                  <c:v>36.7</c:v>
                </c:pt>
                <c:pt idx="162">
                  <c:v>36.7</c:v>
                </c:pt>
                <c:pt idx="163">
                  <c:v>36.5</c:v>
                </c:pt>
                <c:pt idx="164">
                  <c:v>36.6</c:v>
                </c:pt>
                <c:pt idx="165">
                  <c:v>36.1</c:v>
                </c:pt>
                <c:pt idx="166">
                  <c:v>36.5</c:v>
                </c:pt>
                <c:pt idx="167">
                  <c:v>36.6</c:v>
                </c:pt>
                <c:pt idx="168">
                  <c:v>36.7</c:v>
                </c:pt>
                <c:pt idx="169">
                  <c:v>36.6</c:v>
                </c:pt>
                <c:pt idx="170">
                  <c:v>36.5</c:v>
                </c:pt>
                <c:pt idx="171">
                  <c:v>36.7</c:v>
                </c:pt>
                <c:pt idx="172">
                  <c:v>36.7</c:v>
                </c:pt>
                <c:pt idx="173">
                  <c:v>36.6</c:v>
                </c:pt>
                <c:pt idx="174">
                  <c:v>36.6</c:v>
                </c:pt>
                <c:pt idx="175">
                  <c:v>36.5</c:v>
                </c:pt>
                <c:pt idx="176">
                  <c:v>36.6</c:v>
                </c:pt>
                <c:pt idx="177">
                  <c:v>36.5</c:v>
                </c:pt>
                <c:pt idx="178">
                  <c:v>36.4</c:v>
                </c:pt>
                <c:pt idx="179">
                  <c:v>36.5</c:v>
                </c:pt>
                <c:pt idx="180">
                  <c:v>36.5</c:v>
                </c:pt>
                <c:pt idx="181">
                  <c:v>36.6</c:v>
                </c:pt>
                <c:pt idx="182">
                  <c:v>36.7</c:v>
                </c:pt>
                <c:pt idx="183">
                  <c:v>36.6</c:v>
                </c:pt>
                <c:pt idx="184">
                  <c:v>36.5</c:v>
                </c:pt>
                <c:pt idx="185">
                  <c:v>36.6</c:v>
                </c:pt>
                <c:pt idx="186">
                  <c:v>36.6</c:v>
                </c:pt>
                <c:pt idx="187">
                  <c:v>36.5</c:v>
                </c:pt>
                <c:pt idx="188">
                  <c:v>36.6</c:v>
                </c:pt>
                <c:pt idx="189">
                  <c:v>36.7</c:v>
                </c:pt>
                <c:pt idx="190">
                  <c:v>36.7</c:v>
                </c:pt>
                <c:pt idx="191">
                  <c:v>36.7</c:v>
                </c:pt>
                <c:pt idx="192">
                  <c:v>36.7</c:v>
                </c:pt>
                <c:pt idx="193">
                  <c:v>36.7</c:v>
                </c:pt>
                <c:pt idx="194">
                  <c:v>36.8</c:v>
                </c:pt>
                <c:pt idx="195">
                  <c:v>36.8</c:v>
                </c:pt>
                <c:pt idx="196">
                  <c:v>36.8</c:v>
                </c:pt>
                <c:pt idx="197">
                  <c:v>36.8</c:v>
                </c:pt>
                <c:pt idx="198">
                  <c:v>36.8</c:v>
                </c:pt>
                <c:pt idx="199">
                  <c:v>36.7</c:v>
                </c:pt>
                <c:pt idx="200">
                  <c:v>36.7</c:v>
                </c:pt>
                <c:pt idx="201">
                  <c:v>36.8</c:v>
                </c:pt>
                <c:pt idx="202">
                  <c:v>36.8</c:v>
                </c:pt>
                <c:pt idx="203">
                  <c:v>36.9</c:v>
                </c:pt>
                <c:pt idx="204">
                  <c:v>37</c:v>
                </c:pt>
                <c:pt idx="205">
                  <c:v>36.8</c:v>
                </c:pt>
                <c:pt idx="206">
                  <c:v>36.8</c:v>
                </c:pt>
                <c:pt idx="207">
                  <c:v>37</c:v>
                </c:pt>
                <c:pt idx="208">
                  <c:v>37</c:v>
                </c:pt>
                <c:pt idx="209">
                  <c:v>36.9</c:v>
                </c:pt>
                <c:pt idx="210">
                  <c:v>37</c:v>
                </c:pt>
                <c:pt idx="211">
                  <c:v>37</c:v>
                </c:pt>
                <c:pt idx="212">
                  <c:v>36.9</c:v>
                </c:pt>
                <c:pt idx="213">
                  <c:v>37.2</c:v>
                </c:pt>
                <c:pt idx="214">
                  <c:v>37.1</c:v>
                </c:pt>
                <c:pt idx="215">
                  <c:v>37.2</c:v>
                </c:pt>
                <c:pt idx="216">
                  <c:v>37.1</c:v>
                </c:pt>
                <c:pt idx="217">
                  <c:v>37</c:v>
                </c:pt>
                <c:pt idx="218">
                  <c:v>37.1</c:v>
                </c:pt>
                <c:pt idx="219">
                  <c:v>37.1</c:v>
                </c:pt>
                <c:pt idx="220">
                  <c:v>37</c:v>
                </c:pt>
                <c:pt idx="221">
                  <c:v>37.1</c:v>
                </c:pt>
                <c:pt idx="222">
                  <c:v>37.2</c:v>
                </c:pt>
                <c:pt idx="223">
                  <c:v>37.2</c:v>
                </c:pt>
                <c:pt idx="224">
                  <c:v>37.3</c:v>
                </c:pt>
                <c:pt idx="225">
                  <c:v>37.2</c:v>
                </c:pt>
                <c:pt idx="226">
                  <c:v>37.2</c:v>
                </c:pt>
                <c:pt idx="227">
                  <c:v>37.1</c:v>
                </c:pt>
                <c:pt idx="228">
                  <c:v>37.2</c:v>
                </c:pt>
                <c:pt idx="229">
                  <c:v>37.4</c:v>
                </c:pt>
                <c:pt idx="230">
                  <c:v>37.2</c:v>
                </c:pt>
                <c:pt idx="231">
                  <c:v>37.3</c:v>
                </c:pt>
                <c:pt idx="232">
                  <c:v>37.2</c:v>
                </c:pt>
                <c:pt idx="233">
                  <c:v>37.1</c:v>
                </c:pt>
                <c:pt idx="234">
                  <c:v>37.3</c:v>
                </c:pt>
                <c:pt idx="235">
                  <c:v>37.3</c:v>
                </c:pt>
                <c:pt idx="236">
                  <c:v>37.3</c:v>
                </c:pt>
                <c:pt idx="237">
                  <c:v>37.2</c:v>
                </c:pt>
                <c:pt idx="238">
                  <c:v>37.4</c:v>
                </c:pt>
                <c:pt idx="239">
                  <c:v>37.3</c:v>
                </c:pt>
                <c:pt idx="240">
                  <c:v>37</c:v>
                </c:pt>
                <c:pt idx="241">
                  <c:v>37.3</c:v>
                </c:pt>
                <c:pt idx="242">
                  <c:v>37.3</c:v>
                </c:pt>
                <c:pt idx="243">
                  <c:v>37.4</c:v>
                </c:pt>
                <c:pt idx="244">
                  <c:v>37.4</c:v>
                </c:pt>
                <c:pt idx="245">
                  <c:v>37.3</c:v>
                </c:pt>
                <c:pt idx="246">
                  <c:v>37.3</c:v>
                </c:pt>
                <c:pt idx="247">
                  <c:v>37.2</c:v>
                </c:pt>
                <c:pt idx="248">
                  <c:v>37.4</c:v>
                </c:pt>
                <c:pt idx="249">
                  <c:v>37.3</c:v>
                </c:pt>
                <c:pt idx="250">
                  <c:v>37.2</c:v>
                </c:pt>
                <c:pt idx="251">
                  <c:v>37.2</c:v>
                </c:pt>
                <c:pt idx="252">
                  <c:v>37.3</c:v>
                </c:pt>
                <c:pt idx="253">
                  <c:v>37.3</c:v>
                </c:pt>
                <c:pt idx="254">
                  <c:v>37.4</c:v>
                </c:pt>
                <c:pt idx="255">
                  <c:v>37.3</c:v>
                </c:pt>
                <c:pt idx="256">
                  <c:v>37.3</c:v>
                </c:pt>
                <c:pt idx="257">
                  <c:v>37.3</c:v>
                </c:pt>
                <c:pt idx="258">
                  <c:v>37.2</c:v>
                </c:pt>
                <c:pt idx="259">
                  <c:v>37.3</c:v>
                </c:pt>
                <c:pt idx="260">
                  <c:v>37.1</c:v>
                </c:pt>
                <c:pt idx="261">
                  <c:v>37.1</c:v>
                </c:pt>
                <c:pt idx="262">
                  <c:v>37.3</c:v>
                </c:pt>
                <c:pt idx="263">
                  <c:v>37.3</c:v>
                </c:pt>
                <c:pt idx="264">
                  <c:v>37.2</c:v>
                </c:pt>
                <c:pt idx="265">
                  <c:v>37.3</c:v>
                </c:pt>
                <c:pt idx="266">
                  <c:v>37.2</c:v>
                </c:pt>
                <c:pt idx="267">
                  <c:v>37.5</c:v>
                </c:pt>
                <c:pt idx="268">
                  <c:v>37.2</c:v>
                </c:pt>
                <c:pt idx="269">
                  <c:v>37.5</c:v>
                </c:pt>
                <c:pt idx="270">
                  <c:v>37.2</c:v>
                </c:pt>
                <c:pt idx="271">
                  <c:v>37.4</c:v>
                </c:pt>
                <c:pt idx="272">
                  <c:v>37.3</c:v>
                </c:pt>
                <c:pt idx="273">
                  <c:v>37.4</c:v>
                </c:pt>
                <c:pt idx="274">
                  <c:v>37.2</c:v>
                </c:pt>
                <c:pt idx="275">
                  <c:v>37.2</c:v>
                </c:pt>
                <c:pt idx="276">
                  <c:v>37.1</c:v>
                </c:pt>
                <c:pt idx="277">
                  <c:v>37.3</c:v>
                </c:pt>
                <c:pt idx="278">
                  <c:v>37.2</c:v>
                </c:pt>
                <c:pt idx="279">
                  <c:v>37.3</c:v>
                </c:pt>
                <c:pt idx="280">
                  <c:v>37.2</c:v>
                </c:pt>
                <c:pt idx="281">
                  <c:v>37.3</c:v>
                </c:pt>
                <c:pt idx="282">
                  <c:v>37.1</c:v>
                </c:pt>
                <c:pt idx="283">
                  <c:v>37.2</c:v>
                </c:pt>
                <c:pt idx="284">
                  <c:v>37.3</c:v>
                </c:pt>
                <c:pt idx="285">
                  <c:v>37.3</c:v>
                </c:pt>
                <c:pt idx="286">
                  <c:v>37.4</c:v>
                </c:pt>
                <c:pt idx="287">
                  <c:v>37.2</c:v>
                </c:pt>
                <c:pt idx="288">
                  <c:v>37.3</c:v>
                </c:pt>
                <c:pt idx="289">
                  <c:v>37.4</c:v>
                </c:pt>
                <c:pt idx="290">
                  <c:v>37.2</c:v>
                </c:pt>
                <c:pt idx="291">
                  <c:v>37.3</c:v>
                </c:pt>
                <c:pt idx="292">
                  <c:v>37.2</c:v>
                </c:pt>
                <c:pt idx="293">
                  <c:v>37.2</c:v>
                </c:pt>
                <c:pt idx="294">
                  <c:v>37.3</c:v>
                </c:pt>
                <c:pt idx="295">
                  <c:v>37.7</c:v>
                </c:pt>
                <c:pt idx="296">
                  <c:v>37.2</c:v>
                </c:pt>
                <c:pt idx="297">
                  <c:v>37.2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Setpoint (C)</c:v>
                </c:pt>
              </c:strCache>
            </c:strRef>
          </c:tx>
          <c:spPr bwMode="auto">
            <a:prstGeom prst="rect">
              <a:avLst/>
            </a:prstGeom>
            <a:noFill/>
            <a:ln w="12700" cap="rnd" cmpd="sng" algn="ctr">
              <a:solidFill>
                <a:schemeClr val="accent6"/>
              </a:solidFill>
              <a:prstDash val="solid"/>
              <a:miter lim="800000"/>
            </a:ln>
          </c:spPr>
          <c:marker>
            <c:symbol val="none"/>
          </c:marker>
          <c:cat>
            <c:multiLvlStrRef>
              <c:f>Sheet1!$F$2:$G$299</c:f>
              <c:multiLvlStrCache>
                <c:ptCount val="2"/>
                <c:lvl>
                  <c:pt idx="0">
                    <c:v>0.1</c:v>
                  </c:pt>
                  <c:pt idx="1">
                    <c:v>100</c:v>
                  </c:pt>
                </c:lvl>
                <c:lvl>
                  <c:pt idx="0">
                    <c:v>0.2</c:v>
                  </c:pt>
                  <c:pt idx="1">
                    <c:v>100</c:v>
                  </c:pt>
                </c:lvl>
                <c:lvl>
                  <c:pt idx="0">
                    <c:v>0.3</c:v>
                  </c:pt>
                  <c:pt idx="1">
                    <c:v>100</c:v>
                  </c:pt>
                </c:lvl>
                <c:lvl>
                  <c:pt idx="0">
                    <c:v>0.4</c:v>
                  </c:pt>
                  <c:pt idx="1">
                    <c:v>100</c:v>
                  </c:pt>
                </c:lvl>
                <c:lvl>
                  <c:pt idx="0">
                    <c:v>0.5</c:v>
                  </c:pt>
                  <c:pt idx="1">
                    <c:v>100</c:v>
                  </c:pt>
                </c:lvl>
                <c:lvl>
                  <c:pt idx="0">
                    <c:v>0.6</c:v>
                  </c:pt>
                  <c:pt idx="1">
                    <c:v>100</c:v>
                  </c:pt>
                </c:lvl>
                <c:lvl>
                  <c:pt idx="0">
                    <c:v>0.7</c:v>
                  </c:pt>
                  <c:pt idx="1">
                    <c:v>100</c:v>
                  </c:pt>
                </c:lvl>
                <c:lvl>
                  <c:pt idx="0">
                    <c:v>0.8</c:v>
                  </c:pt>
                  <c:pt idx="1">
                    <c:v>100</c:v>
                  </c:pt>
                </c:lvl>
                <c:lvl>
                  <c:pt idx="0">
                    <c:v>0.9</c:v>
                  </c:pt>
                  <c:pt idx="1">
                    <c:v>100</c:v>
                  </c:pt>
                </c:lvl>
                <c:lvl>
                  <c:pt idx="0">
                    <c:v>1.1</c:v>
                  </c:pt>
                  <c:pt idx="1">
                    <c:v>100</c:v>
                  </c:pt>
                </c:lvl>
                <c:lvl>
                  <c:pt idx="0">
                    <c:v>1.2</c:v>
                  </c:pt>
                  <c:pt idx="1">
                    <c:v>100</c:v>
                  </c:pt>
                </c:lvl>
                <c:lvl>
                  <c:pt idx="0">
                    <c:v>1.3</c:v>
                  </c:pt>
                  <c:pt idx="1">
                    <c:v>100</c:v>
                  </c:pt>
                </c:lvl>
                <c:lvl>
                  <c:pt idx="0">
                    <c:v>1.4</c:v>
                  </c:pt>
                  <c:pt idx="1">
                    <c:v>100</c:v>
                  </c:pt>
                </c:lvl>
                <c:lvl>
                  <c:pt idx="0">
                    <c:v>1.5</c:v>
                  </c:pt>
                  <c:pt idx="1">
                    <c:v>100</c:v>
                  </c:pt>
                </c:lvl>
                <c:lvl>
                  <c:pt idx="0">
                    <c:v>1.6</c:v>
                  </c:pt>
                  <c:pt idx="1">
                    <c:v>100</c:v>
                  </c:pt>
                </c:lvl>
                <c:lvl>
                  <c:pt idx="0">
                    <c:v>1.7</c:v>
                  </c:pt>
                  <c:pt idx="1">
                    <c:v>100</c:v>
                  </c:pt>
                </c:lvl>
                <c:lvl>
                  <c:pt idx="0">
                    <c:v>1.8</c:v>
                  </c:pt>
                  <c:pt idx="1">
                    <c:v>100</c:v>
                  </c:pt>
                </c:lvl>
                <c:lvl>
                  <c:pt idx="0">
                    <c:v>1.9</c:v>
                  </c:pt>
                  <c:pt idx="1">
                    <c:v>100</c:v>
                  </c:pt>
                </c:lvl>
                <c:lvl>
                  <c:pt idx="0">
                    <c:v>2</c:v>
                  </c:pt>
                  <c:pt idx="1">
                    <c:v>100</c:v>
                  </c:pt>
                </c:lvl>
                <c:lvl>
                  <c:pt idx="0">
                    <c:v>2.1</c:v>
                  </c:pt>
                  <c:pt idx="1">
                    <c:v>100</c:v>
                  </c:pt>
                </c:lvl>
                <c:lvl>
                  <c:pt idx="0">
                    <c:v>2.2</c:v>
                  </c:pt>
                  <c:pt idx="1">
                    <c:v>100</c:v>
                  </c:pt>
                </c:lvl>
                <c:lvl>
                  <c:pt idx="0">
                    <c:v>2.3</c:v>
                  </c:pt>
                  <c:pt idx="1">
                    <c:v>100</c:v>
                  </c:pt>
                </c:lvl>
                <c:lvl>
                  <c:pt idx="0">
                    <c:v>2.4</c:v>
                  </c:pt>
                  <c:pt idx="1">
                    <c:v>100</c:v>
                  </c:pt>
                </c:lvl>
                <c:lvl>
                  <c:pt idx="0">
                    <c:v>2.5</c:v>
                  </c:pt>
                  <c:pt idx="1">
                    <c:v>100</c:v>
                  </c:pt>
                </c:lvl>
                <c:lvl>
                  <c:pt idx="0">
                    <c:v>2.6</c:v>
                  </c:pt>
                  <c:pt idx="1">
                    <c:v>100</c:v>
                  </c:pt>
                </c:lvl>
                <c:lvl>
                  <c:pt idx="0">
                    <c:v>2.7</c:v>
                  </c:pt>
                  <c:pt idx="1">
                    <c:v>100</c:v>
                  </c:pt>
                </c:lvl>
                <c:lvl>
                  <c:pt idx="0">
                    <c:v>2.8</c:v>
                  </c:pt>
                  <c:pt idx="1">
                    <c:v>100</c:v>
                  </c:pt>
                </c:lvl>
                <c:lvl>
                  <c:pt idx="0">
                    <c:v>2.9</c:v>
                  </c:pt>
                  <c:pt idx="1">
                    <c:v>100</c:v>
                  </c:pt>
                </c:lvl>
                <c:lvl>
                  <c:pt idx="0">
                    <c:v>3</c:v>
                  </c:pt>
                  <c:pt idx="1">
                    <c:v>100</c:v>
                  </c:pt>
                </c:lvl>
                <c:lvl>
                  <c:pt idx="0">
                    <c:v>3.2</c:v>
                  </c:pt>
                  <c:pt idx="1">
                    <c:v>100</c:v>
                  </c:pt>
                </c:lvl>
                <c:lvl>
                  <c:pt idx="0">
                    <c:v>3.3</c:v>
                  </c:pt>
                  <c:pt idx="1">
                    <c:v>100</c:v>
                  </c:pt>
                </c:lvl>
                <c:lvl>
                  <c:pt idx="0">
                    <c:v>3.4</c:v>
                  </c:pt>
                  <c:pt idx="1">
                    <c:v>100</c:v>
                  </c:pt>
                </c:lvl>
                <c:lvl>
                  <c:pt idx="0">
                    <c:v>3.5</c:v>
                  </c:pt>
                  <c:pt idx="1">
                    <c:v>100</c:v>
                  </c:pt>
                </c:lvl>
                <c:lvl>
                  <c:pt idx="0">
                    <c:v>3.6</c:v>
                  </c:pt>
                  <c:pt idx="1">
                    <c:v>100</c:v>
                  </c:pt>
                </c:lvl>
                <c:lvl>
                  <c:pt idx="0">
                    <c:v>3.7</c:v>
                  </c:pt>
                  <c:pt idx="1">
                    <c:v>100</c:v>
                  </c:pt>
                </c:lvl>
                <c:lvl>
                  <c:pt idx="0">
                    <c:v>3.8</c:v>
                  </c:pt>
                  <c:pt idx="1">
                    <c:v>100</c:v>
                  </c:pt>
                </c:lvl>
                <c:lvl>
                  <c:pt idx="0">
                    <c:v>3.9</c:v>
                  </c:pt>
                  <c:pt idx="1">
                    <c:v>100</c:v>
                  </c:pt>
                </c:lvl>
                <c:lvl>
                  <c:pt idx="0">
                    <c:v>4</c:v>
                  </c:pt>
                  <c:pt idx="1">
                    <c:v>100</c:v>
                  </c:pt>
                </c:lvl>
                <c:lvl>
                  <c:pt idx="0">
                    <c:v>4.1</c:v>
                  </c:pt>
                  <c:pt idx="1">
                    <c:v>100</c:v>
                  </c:pt>
                </c:lvl>
                <c:lvl>
                  <c:pt idx="0">
                    <c:v>4.2</c:v>
                  </c:pt>
                  <c:pt idx="1">
                    <c:v>100</c:v>
                  </c:pt>
                </c:lvl>
                <c:lvl>
                  <c:pt idx="0">
                    <c:v>4.3</c:v>
                  </c:pt>
                  <c:pt idx="1">
                    <c:v>100</c:v>
                  </c:pt>
                </c:lvl>
                <c:lvl>
                  <c:pt idx="0">
                    <c:v>4.4</c:v>
                  </c:pt>
                  <c:pt idx="1">
                    <c:v>100</c:v>
                  </c:pt>
                </c:lvl>
                <c:lvl>
                  <c:pt idx="0">
                    <c:v>4.5</c:v>
                  </c:pt>
                  <c:pt idx="1">
                    <c:v>100</c:v>
                  </c:pt>
                </c:lvl>
                <c:lvl>
                  <c:pt idx="0">
                    <c:v>4.6</c:v>
                  </c:pt>
                  <c:pt idx="1">
                    <c:v>100</c:v>
                  </c:pt>
                </c:lvl>
                <c:lvl>
                  <c:pt idx="0">
                    <c:v>4.7</c:v>
                  </c:pt>
                  <c:pt idx="1">
                    <c:v>100</c:v>
                  </c:pt>
                </c:lvl>
                <c:lvl>
                  <c:pt idx="0">
                    <c:v>4.8</c:v>
                  </c:pt>
                  <c:pt idx="1">
                    <c:v>100</c:v>
                  </c:pt>
                </c:lvl>
                <c:lvl>
                  <c:pt idx="0">
                    <c:v>4.9</c:v>
                  </c:pt>
                  <c:pt idx="1">
                    <c:v>100</c:v>
                  </c:pt>
                </c:lvl>
                <c:lvl>
                  <c:pt idx="0">
                    <c:v>5</c:v>
                  </c:pt>
                  <c:pt idx="1">
                    <c:v>100</c:v>
                  </c:pt>
                </c:lvl>
                <c:lvl>
                  <c:pt idx="0">
                    <c:v>5.1</c:v>
                  </c:pt>
                  <c:pt idx="1">
                    <c:v>100</c:v>
                  </c:pt>
                </c:lvl>
                <c:lvl>
                  <c:pt idx="0">
                    <c:v>5.3</c:v>
                  </c:pt>
                  <c:pt idx="1">
                    <c:v>100</c:v>
                  </c:pt>
                </c:lvl>
                <c:lvl>
                  <c:pt idx="0">
                    <c:v>5.4</c:v>
                  </c:pt>
                  <c:pt idx="1">
                    <c:v>100</c:v>
                  </c:pt>
                </c:lvl>
                <c:lvl>
                  <c:pt idx="0">
                    <c:v>5.5</c:v>
                  </c:pt>
                  <c:pt idx="1">
                    <c:v>100</c:v>
                  </c:pt>
                </c:lvl>
                <c:lvl>
                  <c:pt idx="0">
                    <c:v>5.6</c:v>
                  </c:pt>
                  <c:pt idx="1">
                    <c:v>99.4</c:v>
                  </c:pt>
                </c:lvl>
                <c:lvl>
                  <c:pt idx="0">
                    <c:v>5.7</c:v>
                  </c:pt>
                  <c:pt idx="1">
                    <c:v>95</c:v>
                  </c:pt>
                </c:lvl>
                <c:lvl>
                  <c:pt idx="0">
                    <c:v>5.8</c:v>
                  </c:pt>
                  <c:pt idx="1">
                    <c:v>91.8</c:v>
                  </c:pt>
                </c:lvl>
                <c:lvl>
                  <c:pt idx="0">
                    <c:v>5.9</c:v>
                  </c:pt>
                  <c:pt idx="1">
                    <c:v>91.8</c:v>
                  </c:pt>
                </c:lvl>
                <c:lvl>
                  <c:pt idx="0">
                    <c:v>6</c:v>
                  </c:pt>
                  <c:pt idx="1">
                    <c:v>87.4</c:v>
                  </c:pt>
                </c:lvl>
                <c:lvl>
                  <c:pt idx="0">
                    <c:v>6.1</c:v>
                  </c:pt>
                  <c:pt idx="1">
                    <c:v>84.9</c:v>
                  </c:pt>
                </c:lvl>
                <c:lvl>
                  <c:pt idx="0">
                    <c:v>6.2</c:v>
                  </c:pt>
                  <c:pt idx="1">
                    <c:v>83</c:v>
                  </c:pt>
                </c:lvl>
                <c:lvl>
                  <c:pt idx="0">
                    <c:v>6.3</c:v>
                  </c:pt>
                  <c:pt idx="1">
                    <c:v>79.9</c:v>
                  </c:pt>
                </c:lvl>
                <c:lvl>
                  <c:pt idx="0">
                    <c:v>6.4</c:v>
                  </c:pt>
                  <c:pt idx="1">
                    <c:v>75.5</c:v>
                  </c:pt>
                </c:lvl>
                <c:lvl>
                  <c:pt idx="0">
                    <c:v>6.5</c:v>
                  </c:pt>
                  <c:pt idx="1">
                    <c:v>73</c:v>
                  </c:pt>
                </c:lvl>
                <c:lvl>
                  <c:pt idx="0">
                    <c:v>6.6</c:v>
                  </c:pt>
                  <c:pt idx="1">
                    <c:v>71.1</c:v>
                  </c:pt>
                </c:lvl>
                <c:lvl>
                  <c:pt idx="0">
                    <c:v>6.7</c:v>
                  </c:pt>
                  <c:pt idx="1">
                    <c:v>68.6</c:v>
                  </c:pt>
                </c:lvl>
                <c:lvl>
                  <c:pt idx="0">
                    <c:v>6.8</c:v>
                  </c:pt>
                  <c:pt idx="1">
                    <c:v>65.4</c:v>
                  </c:pt>
                </c:lvl>
                <c:lvl>
                  <c:pt idx="0">
                    <c:v>6.9</c:v>
                  </c:pt>
                  <c:pt idx="1">
                    <c:v>64.2</c:v>
                  </c:pt>
                </c:lvl>
                <c:lvl>
                  <c:pt idx="0">
                    <c:v>7</c:v>
                  </c:pt>
                  <c:pt idx="1">
                    <c:v>58.5</c:v>
                  </c:pt>
                </c:lvl>
                <c:lvl>
                  <c:pt idx="0">
                    <c:v>7.1</c:v>
                  </c:pt>
                  <c:pt idx="1">
                    <c:v>57.9</c:v>
                  </c:pt>
                </c:lvl>
                <c:lvl>
                  <c:pt idx="0">
                    <c:v>7.2</c:v>
                  </c:pt>
                  <c:pt idx="1">
                    <c:v>54.1</c:v>
                  </c:pt>
                </c:lvl>
                <c:lvl>
                  <c:pt idx="0">
                    <c:v>7.4</c:v>
                  </c:pt>
                  <c:pt idx="1">
                    <c:v>52.8</c:v>
                  </c:pt>
                </c:lvl>
                <c:lvl>
                  <c:pt idx="0">
                    <c:v>7.5</c:v>
                  </c:pt>
                  <c:pt idx="1">
                    <c:v>50.3</c:v>
                  </c:pt>
                </c:lvl>
                <c:lvl>
                  <c:pt idx="0">
                    <c:v>7.6</c:v>
                  </c:pt>
                  <c:pt idx="1">
                    <c:v>49.1</c:v>
                  </c:pt>
                </c:lvl>
                <c:lvl>
                  <c:pt idx="0">
                    <c:v>7.7</c:v>
                  </c:pt>
                  <c:pt idx="1">
                    <c:v>45.3</c:v>
                  </c:pt>
                </c:lvl>
                <c:lvl>
                  <c:pt idx="0">
                    <c:v>7.8</c:v>
                  </c:pt>
                  <c:pt idx="1">
                    <c:v>42.8</c:v>
                  </c:pt>
                </c:lvl>
                <c:lvl>
                  <c:pt idx="0">
                    <c:v>7.9</c:v>
                  </c:pt>
                  <c:pt idx="1">
                    <c:v>40.9</c:v>
                  </c:pt>
                </c:lvl>
                <c:lvl>
                  <c:pt idx="0">
                    <c:v>8</c:v>
                  </c:pt>
                  <c:pt idx="1">
                    <c:v>39</c:v>
                  </c:pt>
                </c:lvl>
                <c:lvl>
                  <c:pt idx="0">
                    <c:v>8.1</c:v>
                  </c:pt>
                  <c:pt idx="1">
                    <c:v>35.8</c:v>
                  </c:pt>
                </c:lvl>
                <c:lvl>
                  <c:pt idx="0">
                    <c:v>8.2</c:v>
                  </c:pt>
                  <c:pt idx="1">
                    <c:v>35.8</c:v>
                  </c:pt>
                </c:lvl>
                <c:lvl>
                  <c:pt idx="0">
                    <c:v>8.3</c:v>
                  </c:pt>
                  <c:pt idx="1">
                    <c:v>33.3</c:v>
                  </c:pt>
                </c:lvl>
                <c:lvl>
                  <c:pt idx="0">
                    <c:v>8.4</c:v>
                  </c:pt>
                  <c:pt idx="1">
                    <c:v>32.1</c:v>
                  </c:pt>
                </c:lvl>
                <c:lvl>
                  <c:pt idx="0">
                    <c:v>8.5</c:v>
                  </c:pt>
                  <c:pt idx="1">
                    <c:v>30.8</c:v>
                  </c:pt>
                </c:lvl>
                <c:lvl>
                  <c:pt idx="0">
                    <c:v>8.6</c:v>
                  </c:pt>
                  <c:pt idx="1">
                    <c:v>28.9</c:v>
                  </c:pt>
                </c:lvl>
                <c:lvl>
                  <c:pt idx="0">
                    <c:v>8.7</c:v>
                  </c:pt>
                  <c:pt idx="1">
                    <c:v>28.3</c:v>
                  </c:pt>
                </c:lvl>
                <c:lvl>
                  <c:pt idx="0">
                    <c:v>8.8</c:v>
                  </c:pt>
                  <c:pt idx="1">
                    <c:v>27</c:v>
                  </c:pt>
                </c:lvl>
                <c:lvl>
                  <c:pt idx="0">
                    <c:v>8.9</c:v>
                  </c:pt>
                  <c:pt idx="1">
                    <c:v>27.7</c:v>
                  </c:pt>
                </c:lvl>
                <c:lvl>
                  <c:pt idx="0">
                    <c:v>9</c:v>
                  </c:pt>
                  <c:pt idx="1">
                    <c:v>24.5</c:v>
                  </c:pt>
                </c:lvl>
                <c:lvl>
                  <c:pt idx="0">
                    <c:v>9.1</c:v>
                  </c:pt>
                  <c:pt idx="1">
                    <c:v>22.6</c:v>
                  </c:pt>
                </c:lvl>
                <c:lvl>
                  <c:pt idx="0">
                    <c:v>9.2</c:v>
                  </c:pt>
                  <c:pt idx="1">
                    <c:v>22.6</c:v>
                  </c:pt>
                </c:lvl>
                <c:lvl>
                  <c:pt idx="0">
                    <c:v>9.3</c:v>
                  </c:pt>
                  <c:pt idx="1">
                    <c:v>21.4</c:v>
                  </c:pt>
                </c:lvl>
                <c:lvl>
                  <c:pt idx="0">
                    <c:v>9.5</c:v>
                  </c:pt>
                  <c:pt idx="1">
                    <c:v>20.8</c:v>
                  </c:pt>
                </c:lvl>
                <c:lvl>
                  <c:pt idx="0">
                    <c:v>9.6</c:v>
                  </c:pt>
                  <c:pt idx="1">
                    <c:v>20.1</c:v>
                  </c:pt>
                </c:lvl>
                <c:lvl>
                  <c:pt idx="0">
                    <c:v>9.7</c:v>
                  </c:pt>
                  <c:pt idx="1">
                    <c:v>18.9</c:v>
                  </c:pt>
                </c:lvl>
                <c:lvl>
                  <c:pt idx="0">
                    <c:v>9.8</c:v>
                  </c:pt>
                  <c:pt idx="1">
                    <c:v>18.9</c:v>
                  </c:pt>
                </c:lvl>
                <c:lvl>
                  <c:pt idx="0">
                    <c:v>9.9</c:v>
                  </c:pt>
                  <c:pt idx="1">
                    <c:v>18.2</c:v>
                  </c:pt>
                </c:lvl>
                <c:lvl>
                  <c:pt idx="0">
                    <c:v>10</c:v>
                  </c:pt>
                  <c:pt idx="1">
                    <c:v>17.6</c:v>
                  </c:pt>
                </c:lvl>
                <c:lvl>
                  <c:pt idx="0">
                    <c:v>10.1</c:v>
                  </c:pt>
                  <c:pt idx="1">
                    <c:v>17.6</c:v>
                  </c:pt>
                </c:lvl>
                <c:lvl>
                  <c:pt idx="0">
                    <c:v>10.2</c:v>
                  </c:pt>
                  <c:pt idx="1">
                    <c:v>17</c:v>
                  </c:pt>
                </c:lvl>
                <c:lvl>
                  <c:pt idx="0">
                    <c:v>10.3</c:v>
                  </c:pt>
                  <c:pt idx="1">
                    <c:v>16.4</c:v>
                  </c:pt>
                </c:lvl>
                <c:lvl>
                  <c:pt idx="0">
                    <c:v>10.4</c:v>
                  </c:pt>
                  <c:pt idx="1">
                    <c:v>17</c:v>
                  </c:pt>
                </c:lvl>
                <c:lvl>
                  <c:pt idx="0">
                    <c:v>10.5</c:v>
                  </c:pt>
                  <c:pt idx="1">
                    <c:v>17</c:v>
                  </c:pt>
                </c:lvl>
                <c:lvl>
                  <c:pt idx="0">
                    <c:v>10.6</c:v>
                  </c:pt>
                  <c:pt idx="1">
                    <c:v>18.2</c:v>
                  </c:pt>
                </c:lvl>
                <c:lvl>
                  <c:pt idx="0">
                    <c:v>10.7</c:v>
                  </c:pt>
                  <c:pt idx="1">
                    <c:v>17</c:v>
                  </c:pt>
                </c:lvl>
                <c:lvl>
                  <c:pt idx="0">
                    <c:v>10.8</c:v>
                  </c:pt>
                  <c:pt idx="1">
                    <c:v>17.6</c:v>
                  </c:pt>
                </c:lvl>
                <c:lvl>
                  <c:pt idx="0">
                    <c:v>10.9</c:v>
                  </c:pt>
                  <c:pt idx="1">
                    <c:v>17.6</c:v>
                  </c:pt>
                </c:lvl>
                <c:lvl>
                  <c:pt idx="0">
                    <c:v>11</c:v>
                  </c:pt>
                  <c:pt idx="1">
                    <c:v>16.4</c:v>
                  </c:pt>
                </c:lvl>
                <c:lvl>
                  <c:pt idx="0">
                    <c:v>11.1</c:v>
                  </c:pt>
                  <c:pt idx="1">
                    <c:v>18.2</c:v>
                  </c:pt>
                </c:lvl>
                <c:lvl>
                  <c:pt idx="0">
                    <c:v>11.2</c:v>
                  </c:pt>
                  <c:pt idx="1">
                    <c:v>17.6</c:v>
                  </c:pt>
                </c:lvl>
                <c:lvl>
                  <c:pt idx="0">
                    <c:v>11.3</c:v>
                  </c:pt>
                  <c:pt idx="1">
                    <c:v>18.2</c:v>
                  </c:pt>
                </c:lvl>
                <c:lvl>
                  <c:pt idx="0">
                    <c:v>11.5</c:v>
                  </c:pt>
                  <c:pt idx="1">
                    <c:v>20.8</c:v>
                  </c:pt>
                </c:lvl>
                <c:lvl>
                  <c:pt idx="0">
                    <c:v>11.6</c:v>
                  </c:pt>
                  <c:pt idx="1">
                    <c:v>18.9</c:v>
                  </c:pt>
                </c:lvl>
                <c:lvl>
                  <c:pt idx="0">
                    <c:v>11.7</c:v>
                  </c:pt>
                  <c:pt idx="1">
                    <c:v>19.5</c:v>
                  </c:pt>
                </c:lvl>
                <c:lvl>
                  <c:pt idx="0">
                    <c:v>11.8</c:v>
                  </c:pt>
                  <c:pt idx="1">
                    <c:v>20.8</c:v>
                  </c:pt>
                </c:lvl>
                <c:lvl>
                  <c:pt idx="0">
                    <c:v>11.9</c:v>
                  </c:pt>
                  <c:pt idx="1">
                    <c:v>22</c:v>
                  </c:pt>
                </c:lvl>
                <c:lvl>
                  <c:pt idx="0">
                    <c:v>12</c:v>
                  </c:pt>
                  <c:pt idx="1">
                    <c:v>21.4</c:v>
                  </c:pt>
                </c:lvl>
                <c:lvl>
                  <c:pt idx="0">
                    <c:v>12.1</c:v>
                  </c:pt>
                  <c:pt idx="1">
                    <c:v>22.6</c:v>
                  </c:pt>
                </c:lvl>
                <c:lvl>
                  <c:pt idx="0">
                    <c:v>12.2</c:v>
                  </c:pt>
                  <c:pt idx="1">
                    <c:v>22.6</c:v>
                  </c:pt>
                </c:lvl>
                <c:lvl>
                  <c:pt idx="0">
                    <c:v>12.3</c:v>
                  </c:pt>
                  <c:pt idx="1">
                    <c:v>24.5</c:v>
                  </c:pt>
                </c:lvl>
                <c:lvl>
                  <c:pt idx="0">
                    <c:v>12.4</c:v>
                  </c:pt>
                  <c:pt idx="1">
                    <c:v>24.5</c:v>
                  </c:pt>
                </c:lvl>
                <c:lvl>
                  <c:pt idx="0">
                    <c:v>12.5</c:v>
                  </c:pt>
                  <c:pt idx="1">
                    <c:v>23.9</c:v>
                  </c:pt>
                </c:lvl>
                <c:lvl>
                  <c:pt idx="0">
                    <c:v>12.6</c:v>
                  </c:pt>
                  <c:pt idx="1">
                    <c:v>26.4</c:v>
                  </c:pt>
                </c:lvl>
                <c:lvl>
                  <c:pt idx="0">
                    <c:v>12.7</c:v>
                  </c:pt>
                  <c:pt idx="1">
                    <c:v>25.8</c:v>
                  </c:pt>
                </c:lvl>
                <c:lvl>
                  <c:pt idx="0">
                    <c:v>12.8</c:v>
                  </c:pt>
                  <c:pt idx="1">
                    <c:v>27</c:v>
                  </c:pt>
                </c:lvl>
                <c:lvl>
                  <c:pt idx="0">
                    <c:v>12.9</c:v>
                  </c:pt>
                  <c:pt idx="1">
                    <c:v>28.3</c:v>
                  </c:pt>
                </c:lvl>
                <c:lvl>
                  <c:pt idx="0">
                    <c:v>13</c:v>
                  </c:pt>
                  <c:pt idx="1">
                    <c:v>28.9</c:v>
                  </c:pt>
                </c:lvl>
                <c:lvl>
                  <c:pt idx="0">
                    <c:v>13.1</c:v>
                  </c:pt>
                  <c:pt idx="1">
                    <c:v>29.6</c:v>
                  </c:pt>
                </c:lvl>
                <c:lvl>
                  <c:pt idx="0">
                    <c:v>13.2</c:v>
                  </c:pt>
                  <c:pt idx="1">
                    <c:v>28.3</c:v>
                  </c:pt>
                </c:lvl>
                <c:lvl>
                  <c:pt idx="0">
                    <c:v>13.3</c:v>
                  </c:pt>
                  <c:pt idx="1">
                    <c:v>30.8</c:v>
                  </c:pt>
                </c:lvl>
                <c:lvl>
                  <c:pt idx="0">
                    <c:v>13.4</c:v>
                  </c:pt>
                  <c:pt idx="1">
                    <c:v>31.4</c:v>
                  </c:pt>
                </c:lvl>
                <c:lvl>
                  <c:pt idx="0">
                    <c:v>13.6</c:v>
                  </c:pt>
                  <c:pt idx="1">
                    <c:v>33.3</c:v>
                  </c:pt>
                </c:lvl>
                <c:lvl>
                  <c:pt idx="0">
                    <c:v>13.7</c:v>
                  </c:pt>
                  <c:pt idx="1">
                    <c:v>32.1</c:v>
                  </c:pt>
                </c:lvl>
                <c:lvl>
                  <c:pt idx="0">
                    <c:v>13.8</c:v>
                  </c:pt>
                  <c:pt idx="1">
                    <c:v>33.3</c:v>
                  </c:pt>
                </c:lvl>
                <c:lvl>
                  <c:pt idx="0">
                    <c:v>13.9</c:v>
                  </c:pt>
                  <c:pt idx="1">
                    <c:v>33.3</c:v>
                  </c:pt>
                </c:lvl>
                <c:lvl>
                  <c:pt idx="0">
                    <c:v>14</c:v>
                  </c:pt>
                  <c:pt idx="1">
                    <c:v>35.2</c:v>
                  </c:pt>
                </c:lvl>
                <c:lvl>
                  <c:pt idx="0">
                    <c:v>14.1</c:v>
                  </c:pt>
                  <c:pt idx="1">
                    <c:v>35.8</c:v>
                  </c:pt>
                </c:lvl>
                <c:lvl>
                  <c:pt idx="0">
                    <c:v>14.2</c:v>
                  </c:pt>
                  <c:pt idx="1">
                    <c:v>37.1</c:v>
                  </c:pt>
                </c:lvl>
                <c:lvl>
                  <c:pt idx="0">
                    <c:v>14.3</c:v>
                  </c:pt>
                  <c:pt idx="1">
                    <c:v>38.4</c:v>
                  </c:pt>
                </c:lvl>
                <c:lvl>
                  <c:pt idx="0">
                    <c:v>14.4</c:v>
                  </c:pt>
                  <c:pt idx="1">
                    <c:v>38.4</c:v>
                  </c:pt>
                </c:lvl>
                <c:lvl>
                  <c:pt idx="0">
                    <c:v>14.5</c:v>
                  </c:pt>
                  <c:pt idx="1">
                    <c:v>39</c:v>
                  </c:pt>
                </c:lvl>
                <c:lvl>
                  <c:pt idx="0">
                    <c:v>14.6</c:v>
                  </c:pt>
                  <c:pt idx="1">
                    <c:v>39.6</c:v>
                  </c:pt>
                </c:lvl>
                <c:lvl>
                  <c:pt idx="0">
                    <c:v>14.7</c:v>
                  </c:pt>
                  <c:pt idx="1">
                    <c:v>41.5</c:v>
                  </c:pt>
                </c:lvl>
                <c:lvl>
                  <c:pt idx="0">
                    <c:v>14.8</c:v>
                  </c:pt>
                  <c:pt idx="1">
                    <c:v>40.9</c:v>
                  </c:pt>
                </c:lvl>
                <c:lvl>
                  <c:pt idx="0">
                    <c:v>14.9</c:v>
                  </c:pt>
                  <c:pt idx="1">
                    <c:v>42.1</c:v>
                  </c:pt>
                </c:lvl>
                <c:lvl>
                  <c:pt idx="0">
                    <c:v>15</c:v>
                  </c:pt>
                  <c:pt idx="1">
                    <c:v>42.1</c:v>
                  </c:pt>
                </c:lvl>
                <c:lvl>
                  <c:pt idx="0">
                    <c:v>15.1</c:v>
                  </c:pt>
                  <c:pt idx="1">
                    <c:v>44.7</c:v>
                  </c:pt>
                </c:lvl>
                <c:lvl>
                  <c:pt idx="0">
                    <c:v>15.2</c:v>
                  </c:pt>
                  <c:pt idx="1">
                    <c:v>42.8</c:v>
                  </c:pt>
                </c:lvl>
                <c:lvl>
                  <c:pt idx="0">
                    <c:v>15.3</c:v>
                  </c:pt>
                  <c:pt idx="1">
                    <c:v>44.7</c:v>
                  </c:pt>
                </c:lvl>
                <c:lvl>
                  <c:pt idx="0">
                    <c:v>15.4</c:v>
                  </c:pt>
                  <c:pt idx="1">
                    <c:v>45.9</c:v>
                  </c:pt>
                </c:lvl>
                <c:lvl>
                  <c:pt idx="0">
                    <c:v>15.5</c:v>
                  </c:pt>
                  <c:pt idx="1">
                    <c:v>45.9</c:v>
                  </c:pt>
                </c:lvl>
                <c:lvl>
                  <c:pt idx="0">
                    <c:v>15.7</c:v>
                  </c:pt>
                  <c:pt idx="1">
                    <c:v>45.9</c:v>
                  </c:pt>
                </c:lvl>
                <c:lvl>
                  <c:pt idx="0">
                    <c:v>15.8</c:v>
                  </c:pt>
                  <c:pt idx="1">
                    <c:v>46.5</c:v>
                  </c:pt>
                </c:lvl>
                <c:lvl>
                  <c:pt idx="0">
                    <c:v>15.9</c:v>
                  </c:pt>
                  <c:pt idx="1">
                    <c:v>47.2</c:v>
                  </c:pt>
                </c:lvl>
                <c:lvl>
                  <c:pt idx="0">
                    <c:v>16</c:v>
                  </c:pt>
                  <c:pt idx="1">
                    <c:v>47.8</c:v>
                  </c:pt>
                </c:lvl>
                <c:lvl>
                  <c:pt idx="0">
                    <c:v>16.1</c:v>
                  </c:pt>
                  <c:pt idx="1">
                    <c:v>49.1</c:v>
                  </c:pt>
                </c:lvl>
                <c:lvl>
                  <c:pt idx="0">
                    <c:v>16.2</c:v>
                  </c:pt>
                  <c:pt idx="1">
                    <c:v>48.4</c:v>
                  </c:pt>
                </c:lvl>
                <c:lvl>
                  <c:pt idx="0">
                    <c:v>16.3</c:v>
                  </c:pt>
                  <c:pt idx="1">
                    <c:v>49.7</c:v>
                  </c:pt>
                </c:lvl>
                <c:lvl>
                  <c:pt idx="0">
                    <c:v>16.4</c:v>
                  </c:pt>
                  <c:pt idx="1">
                    <c:v>49.7</c:v>
                  </c:pt>
                </c:lvl>
                <c:lvl>
                  <c:pt idx="0">
                    <c:v>16.5</c:v>
                  </c:pt>
                  <c:pt idx="1">
                    <c:v>49.7</c:v>
                  </c:pt>
                </c:lvl>
                <c:lvl>
                  <c:pt idx="0">
                    <c:v>16.6</c:v>
                  </c:pt>
                  <c:pt idx="1">
                    <c:v>52.2</c:v>
                  </c:pt>
                </c:lvl>
                <c:lvl>
                  <c:pt idx="0">
                    <c:v>16.7</c:v>
                  </c:pt>
                  <c:pt idx="1">
                    <c:v>51.6</c:v>
                  </c:pt>
                </c:lvl>
                <c:lvl>
                  <c:pt idx="0">
                    <c:v>16.8</c:v>
                  </c:pt>
                  <c:pt idx="1">
                    <c:v>51.6</c:v>
                  </c:pt>
                </c:lvl>
                <c:lvl>
                  <c:pt idx="0">
                    <c:v>16.9</c:v>
                  </c:pt>
                  <c:pt idx="1">
                    <c:v>53.5</c:v>
                  </c:pt>
                </c:lvl>
                <c:lvl>
                  <c:pt idx="0">
                    <c:v>17</c:v>
                  </c:pt>
                  <c:pt idx="1">
                    <c:v>51.6</c:v>
                  </c:pt>
                </c:lvl>
                <c:lvl>
                  <c:pt idx="0">
                    <c:v>17.1</c:v>
                  </c:pt>
                  <c:pt idx="1">
                    <c:v>51.6</c:v>
                  </c:pt>
                </c:lvl>
                <c:lvl>
                  <c:pt idx="0">
                    <c:v>17.2</c:v>
                  </c:pt>
                  <c:pt idx="1">
                    <c:v>52.2</c:v>
                  </c:pt>
                </c:lvl>
                <c:lvl>
                  <c:pt idx="0">
                    <c:v>17.3</c:v>
                  </c:pt>
                  <c:pt idx="1">
                    <c:v>52.2</c:v>
                  </c:pt>
                </c:lvl>
                <c:lvl>
                  <c:pt idx="0">
                    <c:v>17.4</c:v>
                  </c:pt>
                  <c:pt idx="1">
                    <c:v>56</c:v>
                  </c:pt>
                </c:lvl>
                <c:lvl>
                  <c:pt idx="0">
                    <c:v>17.5</c:v>
                  </c:pt>
                  <c:pt idx="1">
                    <c:v>54.1</c:v>
                  </c:pt>
                </c:lvl>
                <c:lvl>
                  <c:pt idx="0">
                    <c:v>17.6</c:v>
                  </c:pt>
                  <c:pt idx="1">
                    <c:v>53.5</c:v>
                  </c:pt>
                </c:lvl>
                <c:lvl>
                  <c:pt idx="0">
                    <c:v>17.8</c:v>
                  </c:pt>
                  <c:pt idx="1">
                    <c:v>52.8</c:v>
                  </c:pt>
                </c:lvl>
                <c:lvl>
                  <c:pt idx="0">
                    <c:v>17.9</c:v>
                  </c:pt>
                  <c:pt idx="1">
                    <c:v>52.8</c:v>
                  </c:pt>
                </c:lvl>
                <c:lvl>
                  <c:pt idx="0">
                    <c:v>18</c:v>
                  </c:pt>
                  <c:pt idx="1">
                    <c:v>54.7</c:v>
                  </c:pt>
                </c:lvl>
                <c:lvl>
                  <c:pt idx="0">
                    <c:v>18.1</c:v>
                  </c:pt>
                  <c:pt idx="1">
                    <c:v>53.5</c:v>
                  </c:pt>
                </c:lvl>
                <c:lvl>
                  <c:pt idx="0">
                    <c:v>18.2</c:v>
                  </c:pt>
                  <c:pt idx="1">
                    <c:v>52.8</c:v>
                  </c:pt>
                </c:lvl>
                <c:lvl>
                  <c:pt idx="0">
                    <c:v>18.3</c:v>
                  </c:pt>
                  <c:pt idx="1">
                    <c:v>54.7</c:v>
                  </c:pt>
                </c:lvl>
                <c:lvl>
                  <c:pt idx="0">
                    <c:v>18.4</c:v>
                  </c:pt>
                  <c:pt idx="1">
                    <c:v>54.1</c:v>
                  </c:pt>
                </c:lvl>
                <c:lvl>
                  <c:pt idx="0">
                    <c:v>18.5</c:v>
                  </c:pt>
                  <c:pt idx="1">
                    <c:v>54.7</c:v>
                  </c:pt>
                </c:lvl>
                <c:lvl>
                  <c:pt idx="0">
                    <c:v>18.6</c:v>
                  </c:pt>
                  <c:pt idx="1">
                    <c:v>55.3</c:v>
                  </c:pt>
                </c:lvl>
                <c:lvl>
                  <c:pt idx="0">
                    <c:v>18.7</c:v>
                  </c:pt>
                  <c:pt idx="1">
                    <c:v>54.7</c:v>
                  </c:pt>
                </c:lvl>
                <c:lvl>
                  <c:pt idx="0">
                    <c:v>18.8</c:v>
                  </c:pt>
                  <c:pt idx="1">
                    <c:v>56</c:v>
                  </c:pt>
                </c:lvl>
                <c:lvl>
                  <c:pt idx="0">
                    <c:v>18.9</c:v>
                  </c:pt>
                  <c:pt idx="1">
                    <c:v>54.1</c:v>
                  </c:pt>
                </c:lvl>
                <c:lvl>
                  <c:pt idx="0">
                    <c:v>19</c:v>
                  </c:pt>
                  <c:pt idx="1">
                    <c:v>56</c:v>
                  </c:pt>
                </c:lvl>
                <c:lvl>
                  <c:pt idx="0">
                    <c:v>19.1</c:v>
                  </c:pt>
                  <c:pt idx="1">
                    <c:v>55.3</c:v>
                  </c:pt>
                </c:lvl>
                <c:lvl>
                  <c:pt idx="0">
                    <c:v>19.2</c:v>
                  </c:pt>
                  <c:pt idx="1">
                    <c:v>54.7</c:v>
                  </c:pt>
                </c:lvl>
                <c:lvl>
                  <c:pt idx="0">
                    <c:v>19.3</c:v>
                  </c:pt>
                  <c:pt idx="1">
                    <c:v>55.3</c:v>
                  </c:pt>
                </c:lvl>
                <c:lvl>
                  <c:pt idx="0">
                    <c:v>19.4</c:v>
                  </c:pt>
                  <c:pt idx="1">
                    <c:v>55.3</c:v>
                  </c:pt>
                </c:lvl>
                <c:lvl>
                  <c:pt idx="0">
                    <c:v>19.5</c:v>
                  </c:pt>
                  <c:pt idx="1">
                    <c:v>55.3</c:v>
                  </c:pt>
                </c:lvl>
                <c:lvl>
                  <c:pt idx="0">
                    <c:v>19.6</c:v>
                  </c:pt>
                  <c:pt idx="1">
                    <c:v>54.7</c:v>
                  </c:pt>
                </c:lvl>
                <c:lvl>
                  <c:pt idx="0">
                    <c:v>19.8</c:v>
                  </c:pt>
                  <c:pt idx="1">
                    <c:v>54.7</c:v>
                  </c:pt>
                </c:lvl>
                <c:lvl>
                  <c:pt idx="0">
                    <c:v>19.9</c:v>
                  </c:pt>
                  <c:pt idx="1">
                    <c:v>55.3</c:v>
                  </c:pt>
                </c:lvl>
                <c:lvl>
                  <c:pt idx="0">
                    <c:v>20</c:v>
                  </c:pt>
                  <c:pt idx="1">
                    <c:v>53.5</c:v>
                  </c:pt>
                </c:lvl>
                <c:lvl>
                  <c:pt idx="0">
                    <c:v>20.1</c:v>
                  </c:pt>
                  <c:pt idx="1">
                    <c:v>55.3</c:v>
                  </c:pt>
                </c:lvl>
                <c:lvl>
                  <c:pt idx="0">
                    <c:v>20.2</c:v>
                  </c:pt>
                  <c:pt idx="1">
                    <c:v>54.1</c:v>
                  </c:pt>
                </c:lvl>
                <c:lvl>
                  <c:pt idx="0">
                    <c:v>20.3</c:v>
                  </c:pt>
                  <c:pt idx="1">
                    <c:v>53.5</c:v>
                  </c:pt>
                </c:lvl>
                <c:lvl>
                  <c:pt idx="0">
                    <c:v>20.4</c:v>
                  </c:pt>
                  <c:pt idx="1">
                    <c:v>53.5</c:v>
                  </c:pt>
                </c:lvl>
                <c:lvl>
                  <c:pt idx="0">
                    <c:v>20.5</c:v>
                  </c:pt>
                  <c:pt idx="1">
                    <c:v>53.5</c:v>
                  </c:pt>
                </c:lvl>
                <c:lvl>
                  <c:pt idx="0">
                    <c:v>20.6</c:v>
                  </c:pt>
                  <c:pt idx="1">
                    <c:v>54.7</c:v>
                  </c:pt>
                </c:lvl>
                <c:lvl>
                  <c:pt idx="0">
                    <c:v>20.7</c:v>
                  </c:pt>
                  <c:pt idx="1">
                    <c:v>54.1</c:v>
                  </c:pt>
                </c:lvl>
                <c:lvl>
                  <c:pt idx="0">
                    <c:v>20.8</c:v>
                  </c:pt>
                  <c:pt idx="1">
                    <c:v>54.1</c:v>
                  </c:pt>
                </c:lvl>
                <c:lvl>
                  <c:pt idx="0">
                    <c:v>20.9</c:v>
                  </c:pt>
                  <c:pt idx="1">
                    <c:v>53.5</c:v>
                  </c:pt>
                </c:lvl>
                <c:lvl>
                  <c:pt idx="0">
                    <c:v>21</c:v>
                  </c:pt>
                  <c:pt idx="1">
                    <c:v>54.1</c:v>
                  </c:pt>
                </c:lvl>
                <c:lvl>
                  <c:pt idx="0">
                    <c:v>21.1</c:v>
                  </c:pt>
                  <c:pt idx="1">
                    <c:v>54.1</c:v>
                  </c:pt>
                </c:lvl>
                <c:lvl>
                  <c:pt idx="0">
                    <c:v>21.2</c:v>
                  </c:pt>
                  <c:pt idx="1">
                    <c:v>52.8</c:v>
                  </c:pt>
                </c:lvl>
                <c:lvl>
                  <c:pt idx="0">
                    <c:v>21.3</c:v>
                  </c:pt>
                  <c:pt idx="1">
                    <c:v>52.8</c:v>
                  </c:pt>
                </c:lvl>
                <c:lvl>
                  <c:pt idx="0">
                    <c:v>21.4</c:v>
                  </c:pt>
                  <c:pt idx="1">
                    <c:v>54.1</c:v>
                  </c:pt>
                </c:lvl>
                <c:lvl>
                  <c:pt idx="0">
                    <c:v>21.5</c:v>
                  </c:pt>
                  <c:pt idx="1">
                    <c:v>52.2</c:v>
                  </c:pt>
                </c:lvl>
                <c:lvl>
                  <c:pt idx="0">
                    <c:v>21.6</c:v>
                  </c:pt>
                  <c:pt idx="1">
                    <c:v>53.5</c:v>
                  </c:pt>
                </c:lvl>
                <c:lvl>
                  <c:pt idx="0">
                    <c:v>21.7</c:v>
                  </c:pt>
                  <c:pt idx="1">
                    <c:v>53.5</c:v>
                  </c:pt>
                </c:lvl>
                <c:lvl>
                  <c:pt idx="0">
                    <c:v>21.9</c:v>
                  </c:pt>
                  <c:pt idx="1">
                    <c:v>52.2</c:v>
                  </c:pt>
                </c:lvl>
                <c:lvl>
                  <c:pt idx="0">
                    <c:v>22</c:v>
                  </c:pt>
                  <c:pt idx="1">
                    <c:v>50.3</c:v>
                  </c:pt>
                </c:lvl>
                <c:lvl>
                  <c:pt idx="0">
                    <c:v>22.1</c:v>
                  </c:pt>
                  <c:pt idx="1">
                    <c:v>50.9</c:v>
                  </c:pt>
                </c:lvl>
                <c:lvl>
                  <c:pt idx="0">
                    <c:v>22.2</c:v>
                  </c:pt>
                  <c:pt idx="1">
                    <c:v>52.8</c:v>
                  </c:pt>
                </c:lvl>
                <c:lvl>
                  <c:pt idx="0">
                    <c:v>22.3</c:v>
                  </c:pt>
                  <c:pt idx="1">
                    <c:v>50.9</c:v>
                  </c:pt>
                </c:lvl>
                <c:lvl>
                  <c:pt idx="0">
                    <c:v>22.4</c:v>
                  </c:pt>
                  <c:pt idx="1">
                    <c:v>52.2</c:v>
                  </c:pt>
                </c:lvl>
                <c:lvl>
                  <c:pt idx="0">
                    <c:v>22.5</c:v>
                  </c:pt>
                  <c:pt idx="1">
                    <c:v>50.3</c:v>
                  </c:pt>
                </c:lvl>
                <c:lvl>
                  <c:pt idx="0">
                    <c:v>22.6</c:v>
                  </c:pt>
                  <c:pt idx="1">
                    <c:v>49.7</c:v>
                  </c:pt>
                </c:lvl>
                <c:lvl>
                  <c:pt idx="0">
                    <c:v>22.7</c:v>
                  </c:pt>
                  <c:pt idx="1">
                    <c:v>50.9</c:v>
                  </c:pt>
                </c:lvl>
                <c:lvl>
                  <c:pt idx="0">
                    <c:v>22.8</c:v>
                  </c:pt>
                  <c:pt idx="1">
                    <c:v>49.1</c:v>
                  </c:pt>
                </c:lvl>
                <c:lvl>
                  <c:pt idx="0">
                    <c:v>22.9</c:v>
                  </c:pt>
                  <c:pt idx="1">
                    <c:v>50.9</c:v>
                  </c:pt>
                </c:lvl>
                <c:lvl>
                  <c:pt idx="0">
                    <c:v>23</c:v>
                  </c:pt>
                  <c:pt idx="1">
                    <c:v>49.7</c:v>
                  </c:pt>
                </c:lvl>
                <c:lvl>
                  <c:pt idx="0">
                    <c:v>23.1</c:v>
                  </c:pt>
                  <c:pt idx="1">
                    <c:v>50.3</c:v>
                  </c:pt>
                </c:lvl>
                <c:lvl>
                  <c:pt idx="0">
                    <c:v>23.2</c:v>
                  </c:pt>
                  <c:pt idx="1">
                    <c:v>50.9</c:v>
                  </c:pt>
                </c:lvl>
                <c:lvl>
                  <c:pt idx="0">
                    <c:v>23.3</c:v>
                  </c:pt>
                  <c:pt idx="1">
                    <c:v>49.1</c:v>
                  </c:pt>
                </c:lvl>
                <c:lvl>
                  <c:pt idx="0">
                    <c:v>23.4</c:v>
                  </c:pt>
                  <c:pt idx="1">
                    <c:v>50.3</c:v>
                  </c:pt>
                </c:lvl>
                <c:lvl>
                  <c:pt idx="0">
                    <c:v>23.5</c:v>
                  </c:pt>
                  <c:pt idx="1">
                    <c:v>50.3</c:v>
                  </c:pt>
                </c:lvl>
                <c:lvl>
                  <c:pt idx="0">
                    <c:v>23.6</c:v>
                  </c:pt>
                  <c:pt idx="1">
                    <c:v>47.8</c:v>
                  </c:pt>
                </c:lvl>
                <c:lvl>
                  <c:pt idx="0">
                    <c:v>23.7</c:v>
                  </c:pt>
                  <c:pt idx="1">
                    <c:v>49.7</c:v>
                  </c:pt>
                </c:lvl>
                <c:lvl>
                  <c:pt idx="0">
                    <c:v>23.8</c:v>
                  </c:pt>
                  <c:pt idx="1">
                    <c:v>49.7</c:v>
                  </c:pt>
                </c:lvl>
                <c:lvl>
                  <c:pt idx="0">
                    <c:v>24</c:v>
                  </c:pt>
                  <c:pt idx="1">
                    <c:v>49.7</c:v>
                  </c:pt>
                </c:lvl>
                <c:lvl>
                  <c:pt idx="0">
                    <c:v>24.1</c:v>
                  </c:pt>
                  <c:pt idx="1">
                    <c:v>49.7</c:v>
                  </c:pt>
                </c:lvl>
                <c:lvl>
                  <c:pt idx="0">
                    <c:v>24.2</c:v>
                  </c:pt>
                  <c:pt idx="1">
                    <c:v>48.4</c:v>
                  </c:pt>
                </c:lvl>
                <c:lvl>
                  <c:pt idx="0">
                    <c:v>24.3</c:v>
                  </c:pt>
                  <c:pt idx="1">
                    <c:v>48.4</c:v>
                  </c:pt>
                </c:lvl>
                <c:lvl>
                  <c:pt idx="0">
                    <c:v>24.4</c:v>
                  </c:pt>
                  <c:pt idx="1">
                    <c:v>49.7</c:v>
                  </c:pt>
                </c:lvl>
                <c:lvl>
                  <c:pt idx="0">
                    <c:v>24.5</c:v>
                  </c:pt>
                  <c:pt idx="1">
                    <c:v>49.1</c:v>
                  </c:pt>
                </c:lvl>
                <c:lvl>
                  <c:pt idx="0">
                    <c:v>24.6</c:v>
                  </c:pt>
                  <c:pt idx="1">
                    <c:v>49.7</c:v>
                  </c:pt>
                </c:lvl>
                <c:lvl>
                  <c:pt idx="0">
                    <c:v>24.7</c:v>
                  </c:pt>
                  <c:pt idx="1">
                    <c:v>49.7</c:v>
                  </c:pt>
                </c:lvl>
                <c:lvl>
                  <c:pt idx="0">
                    <c:v>24.8</c:v>
                  </c:pt>
                  <c:pt idx="1">
                    <c:v>49.1</c:v>
                  </c:pt>
                </c:lvl>
                <c:lvl>
                  <c:pt idx="0">
                    <c:v>24.9</c:v>
                  </c:pt>
                  <c:pt idx="1">
                    <c:v>49.1</c:v>
                  </c:pt>
                </c:lvl>
                <c:lvl>
                  <c:pt idx="0">
                    <c:v>25</c:v>
                  </c:pt>
                  <c:pt idx="1">
                    <c:v>49.7</c:v>
                  </c:pt>
                </c:lvl>
                <c:lvl>
                  <c:pt idx="0">
                    <c:v>25.1</c:v>
                  </c:pt>
                  <c:pt idx="1">
                    <c:v>47.2</c:v>
                  </c:pt>
                </c:lvl>
                <c:lvl>
                  <c:pt idx="0">
                    <c:v>25.2</c:v>
                  </c:pt>
                  <c:pt idx="1">
                    <c:v>49.1</c:v>
                  </c:pt>
                </c:lvl>
                <c:lvl>
                  <c:pt idx="0">
                    <c:v>25.3</c:v>
                  </c:pt>
                  <c:pt idx="1">
                    <c:v>49.1</c:v>
                  </c:pt>
                </c:lvl>
                <c:lvl>
                  <c:pt idx="0">
                    <c:v>25.4</c:v>
                  </c:pt>
                  <c:pt idx="1">
                    <c:v>47.8</c:v>
                  </c:pt>
                </c:lvl>
                <c:lvl>
                  <c:pt idx="0">
                    <c:v>25.5</c:v>
                  </c:pt>
                  <c:pt idx="1">
                    <c:v>48.4</c:v>
                  </c:pt>
                </c:lvl>
                <c:lvl>
                  <c:pt idx="0">
                    <c:v>25.6</c:v>
                  </c:pt>
                  <c:pt idx="1">
                    <c:v>48.4</c:v>
                  </c:pt>
                </c:lvl>
                <c:lvl>
                  <c:pt idx="0">
                    <c:v>25.7</c:v>
                  </c:pt>
                  <c:pt idx="1">
                    <c:v>47.2</c:v>
                  </c:pt>
                </c:lvl>
                <c:lvl>
                  <c:pt idx="0">
                    <c:v>25.8</c:v>
                  </c:pt>
                  <c:pt idx="1">
                    <c:v>49.1</c:v>
                  </c:pt>
                </c:lvl>
                <c:lvl>
                  <c:pt idx="0">
                    <c:v>25.9</c:v>
                  </c:pt>
                  <c:pt idx="1">
                    <c:v>47.2</c:v>
                  </c:pt>
                </c:lvl>
                <c:lvl>
                  <c:pt idx="0">
                    <c:v>26.1</c:v>
                  </c:pt>
                  <c:pt idx="1">
                    <c:v>49.1</c:v>
                  </c:pt>
                </c:lvl>
                <c:lvl>
                  <c:pt idx="0">
                    <c:v>26.2</c:v>
                  </c:pt>
                  <c:pt idx="1">
                    <c:v>49.1</c:v>
                  </c:pt>
                </c:lvl>
                <c:lvl>
                  <c:pt idx="0">
                    <c:v>26.3</c:v>
                  </c:pt>
                  <c:pt idx="1">
                    <c:v>49.1</c:v>
                  </c:pt>
                </c:lvl>
                <c:lvl>
                  <c:pt idx="0">
                    <c:v>26.4</c:v>
                  </c:pt>
                  <c:pt idx="1">
                    <c:v>48.4</c:v>
                  </c:pt>
                </c:lvl>
                <c:lvl>
                  <c:pt idx="0">
                    <c:v>26.5</c:v>
                  </c:pt>
                  <c:pt idx="1">
                    <c:v>47.2</c:v>
                  </c:pt>
                </c:lvl>
                <c:lvl>
                  <c:pt idx="0">
                    <c:v>26.6</c:v>
                  </c:pt>
                  <c:pt idx="1">
                    <c:v>48.4</c:v>
                  </c:pt>
                </c:lvl>
                <c:lvl>
                  <c:pt idx="0">
                    <c:v>26.7</c:v>
                  </c:pt>
                  <c:pt idx="1">
                    <c:v>48.4</c:v>
                  </c:pt>
                </c:lvl>
                <c:lvl>
                  <c:pt idx="0">
                    <c:v>26.8</c:v>
                  </c:pt>
                  <c:pt idx="1">
                    <c:v>47.2</c:v>
                  </c:pt>
                </c:lvl>
                <c:lvl>
                  <c:pt idx="0">
                    <c:v>26.9</c:v>
                  </c:pt>
                  <c:pt idx="1">
                    <c:v>48.4</c:v>
                  </c:pt>
                </c:lvl>
                <c:lvl>
                  <c:pt idx="0">
                    <c:v>27</c:v>
                  </c:pt>
                  <c:pt idx="1">
                    <c:v>47.8</c:v>
                  </c:pt>
                </c:lvl>
                <c:lvl>
                  <c:pt idx="0">
                    <c:v>27.1</c:v>
                  </c:pt>
                  <c:pt idx="1">
                    <c:v>48.4</c:v>
                  </c:pt>
                </c:lvl>
                <c:lvl>
                  <c:pt idx="0">
                    <c:v>27.2</c:v>
                  </c:pt>
                  <c:pt idx="1">
                    <c:v>49.1</c:v>
                  </c:pt>
                </c:lvl>
                <c:lvl>
                  <c:pt idx="0">
                    <c:v>27.3</c:v>
                  </c:pt>
                  <c:pt idx="1">
                    <c:v>48.4</c:v>
                  </c:pt>
                </c:lvl>
                <c:lvl>
                  <c:pt idx="0">
                    <c:v>27.4</c:v>
                  </c:pt>
                  <c:pt idx="1">
                    <c:v>47.2</c:v>
                  </c:pt>
                </c:lvl>
                <c:lvl>
                  <c:pt idx="0">
                    <c:v>27.5</c:v>
                  </c:pt>
                  <c:pt idx="1">
                    <c:v>49.1</c:v>
                  </c:pt>
                </c:lvl>
                <c:lvl>
                  <c:pt idx="0">
                    <c:v>27.6</c:v>
                  </c:pt>
                  <c:pt idx="1">
                    <c:v>49.1</c:v>
                  </c:pt>
                </c:lvl>
                <c:lvl>
                  <c:pt idx="0">
                    <c:v>27.7</c:v>
                  </c:pt>
                  <c:pt idx="1">
                    <c:v>48.4</c:v>
                  </c:pt>
                </c:lvl>
                <c:lvl>
                  <c:pt idx="0">
                    <c:v>27.8</c:v>
                  </c:pt>
                  <c:pt idx="1">
                    <c:v>49.1</c:v>
                  </c:pt>
                </c:lvl>
                <c:lvl>
                  <c:pt idx="0">
                    <c:v>27.9</c:v>
                  </c:pt>
                  <c:pt idx="1">
                    <c:v>50.3</c:v>
                  </c:pt>
                </c:lvl>
                <c:lvl>
                  <c:pt idx="0">
                    <c:v>28</c:v>
                  </c:pt>
                  <c:pt idx="1">
                    <c:v>50.3</c:v>
                  </c:pt>
                </c:lvl>
                <c:lvl>
                  <c:pt idx="0">
                    <c:v>28.2</c:v>
                  </c:pt>
                  <c:pt idx="1">
                    <c:v>46.5</c:v>
                  </c:pt>
                </c:lvl>
                <c:lvl>
                  <c:pt idx="0">
                    <c:v>28.3</c:v>
                  </c:pt>
                  <c:pt idx="1">
                    <c:v>48.4</c:v>
                  </c:pt>
                </c:lvl>
                <c:lvl>
                  <c:pt idx="0">
                    <c:v>28.4</c:v>
                  </c:pt>
                  <c:pt idx="1">
                    <c:v>47.8</c:v>
                  </c:pt>
                </c:lvl>
                <c:lvl>
                  <c:pt idx="0">
                    <c:v>28.5</c:v>
                  </c:pt>
                  <c:pt idx="1">
                    <c:v>48.4</c:v>
                  </c:pt>
                </c:lvl>
                <c:lvl>
                  <c:pt idx="0">
                    <c:v>28.6</c:v>
                  </c:pt>
                  <c:pt idx="1">
                    <c:v>49.1</c:v>
                  </c:pt>
                </c:lvl>
                <c:lvl>
                  <c:pt idx="0">
                    <c:v>28.7</c:v>
                  </c:pt>
                  <c:pt idx="1">
                    <c:v>48.4</c:v>
                  </c:pt>
                </c:lvl>
                <c:lvl>
                  <c:pt idx="0">
                    <c:v>28.8</c:v>
                  </c:pt>
                  <c:pt idx="1">
                    <c:v>49.7</c:v>
                  </c:pt>
                </c:lvl>
                <c:lvl>
                  <c:pt idx="0">
                    <c:v>28.9</c:v>
                  </c:pt>
                  <c:pt idx="1">
                    <c:v>48.4</c:v>
                  </c:pt>
                </c:lvl>
                <c:lvl>
                  <c:pt idx="0">
                    <c:v>29</c:v>
                  </c:pt>
                  <c:pt idx="1">
                    <c:v>48.4</c:v>
                  </c:pt>
                </c:lvl>
                <c:lvl>
                  <c:pt idx="0">
                    <c:v>29.1</c:v>
                  </c:pt>
                  <c:pt idx="1">
                    <c:v>49.7</c:v>
                  </c:pt>
                </c:lvl>
                <c:lvl>
                  <c:pt idx="0">
                    <c:v>29.2</c:v>
                  </c:pt>
                  <c:pt idx="1">
                    <c:v>48.4</c:v>
                  </c:pt>
                </c:lvl>
                <c:lvl>
                  <c:pt idx="0">
                    <c:v>29.3</c:v>
                  </c:pt>
                  <c:pt idx="1">
                    <c:v>48.4</c:v>
                  </c:pt>
                </c:lvl>
                <c:lvl>
                  <c:pt idx="0">
                    <c:v>29.4</c:v>
                  </c:pt>
                  <c:pt idx="1">
                    <c:v>49.7</c:v>
                  </c:pt>
                </c:lvl>
                <c:lvl>
                  <c:pt idx="0">
                    <c:v>29.5</c:v>
                  </c:pt>
                  <c:pt idx="1">
                    <c:v>49.7</c:v>
                  </c:pt>
                </c:lvl>
                <c:lvl>
                  <c:pt idx="0">
                    <c:v>29.6</c:v>
                  </c:pt>
                  <c:pt idx="1">
                    <c:v>49.1</c:v>
                  </c:pt>
                </c:lvl>
                <c:lvl>
                  <c:pt idx="0">
                    <c:v>29.7</c:v>
                  </c:pt>
                  <c:pt idx="1">
                    <c:v>50.3</c:v>
                  </c:pt>
                </c:lvl>
                <c:lvl>
                  <c:pt idx="0">
                    <c:v>29.8</c:v>
                  </c:pt>
                  <c:pt idx="1">
                    <c:v>50.3</c:v>
                  </c:pt>
                </c:lvl>
                <c:lvl>
                  <c:pt idx="0">
                    <c:v>29.9</c:v>
                  </c:pt>
                  <c:pt idx="1">
                    <c:v>49.1</c:v>
                  </c:pt>
                </c:lvl>
                <c:lvl>
                  <c:pt idx="0">
                    <c:v>30</c:v>
                  </c:pt>
                  <c:pt idx="1">
                    <c:v>47.8</c:v>
                  </c:pt>
                </c:lvl>
                <c:lvl>
                  <c:pt idx="0">
                    <c:v>30.2</c:v>
                  </c:pt>
                  <c:pt idx="1">
                    <c:v>49.1</c:v>
                  </c:pt>
                </c:lvl>
                <c:lvl>
                  <c:pt idx="0">
                    <c:v>30.3</c:v>
                  </c:pt>
                  <c:pt idx="1">
                    <c:v>50.3</c:v>
                  </c:pt>
                </c:lvl>
                <c:lvl>
                  <c:pt idx="0">
                    <c:v>30.4</c:v>
                  </c:pt>
                  <c:pt idx="1">
                    <c:v>50.3</c:v>
                  </c:pt>
                </c:lvl>
                <c:lvl>
                  <c:pt idx="0">
                    <c:v>30.5</c:v>
                  </c:pt>
                  <c:pt idx="1">
                    <c:v>49.1</c:v>
                  </c:pt>
                </c:lvl>
                <c:lvl>
                  <c:pt idx="0">
                    <c:v>30.6</c:v>
                  </c:pt>
                  <c:pt idx="1">
                    <c:v>49.7</c:v>
                  </c:pt>
                </c:lvl>
                <c:lvl>
                  <c:pt idx="0">
                    <c:v>30.7</c:v>
                  </c:pt>
                  <c:pt idx="1">
                    <c:v>49.1</c:v>
                  </c:pt>
                </c:lvl>
                <c:lvl>
                  <c:pt idx="0">
                    <c:v>30.8</c:v>
                  </c:pt>
                  <c:pt idx="1">
                    <c:v>50.3</c:v>
                  </c:pt>
                </c:lvl>
                <c:lvl>
                  <c:pt idx="0">
                    <c:v>30.9</c:v>
                  </c:pt>
                  <c:pt idx="1">
                    <c:v>50.3</c:v>
                  </c:pt>
                </c:lvl>
                <c:lvl>
                  <c:pt idx="0">
                    <c:v>31</c:v>
                  </c:pt>
                  <c:pt idx="1">
                    <c:v>49.7</c:v>
                  </c:pt>
                </c:lvl>
                <c:lvl>
                  <c:pt idx="0">
                    <c:v>31.1</c:v>
                  </c:pt>
                  <c:pt idx="1">
                    <c:v>47.8</c:v>
                  </c:pt>
                </c:lvl>
                <c:lvl>
                  <c:pt idx="0">
                    <c:v>31.2</c:v>
                  </c:pt>
                  <c:pt idx="1">
                    <c:v>49.7</c:v>
                  </c:pt>
                </c:lvl>
                <c:lvl>
                  <c:pt idx="0">
                    <c:v>31.3</c:v>
                  </c:pt>
                  <c:pt idx="1">
                    <c:v>48.4</c:v>
                  </c:pt>
                </c:lvl>
              </c:multiLvlStrCache>
            </c:multiLvlStrRef>
          </c:cat>
          <c:val>
            <c:numRef>
              <c:f>Sheet1!$H$2:$H$299</c:f>
              <c:numCache>
                <c:formatCode>General</c:formatCode>
                <c:ptCount val="298"/>
                <c:pt idx="0">
                  <c:v>37.5</c:v>
                </c:pt>
                <c:pt idx="1">
                  <c:v>37.5</c:v>
                </c:pt>
                <c:pt idx="2">
                  <c:v>37.5</c:v>
                </c:pt>
                <c:pt idx="3">
                  <c:v>37.5</c:v>
                </c:pt>
                <c:pt idx="4">
                  <c:v>37.5</c:v>
                </c:pt>
                <c:pt idx="5">
                  <c:v>37.5</c:v>
                </c:pt>
                <c:pt idx="6">
                  <c:v>37.5</c:v>
                </c:pt>
                <c:pt idx="7">
                  <c:v>37.5</c:v>
                </c:pt>
                <c:pt idx="8">
                  <c:v>37.5</c:v>
                </c:pt>
                <c:pt idx="9">
                  <c:v>37.5</c:v>
                </c:pt>
                <c:pt idx="10">
                  <c:v>37.5</c:v>
                </c:pt>
                <c:pt idx="11">
                  <c:v>37.5</c:v>
                </c:pt>
                <c:pt idx="12">
                  <c:v>37.5</c:v>
                </c:pt>
                <c:pt idx="13">
                  <c:v>37.5</c:v>
                </c:pt>
                <c:pt idx="14">
                  <c:v>37.5</c:v>
                </c:pt>
                <c:pt idx="15">
                  <c:v>37.5</c:v>
                </c:pt>
                <c:pt idx="16">
                  <c:v>37.5</c:v>
                </c:pt>
                <c:pt idx="17">
                  <c:v>37.5</c:v>
                </c:pt>
                <c:pt idx="18">
                  <c:v>37.5</c:v>
                </c:pt>
                <c:pt idx="19">
                  <c:v>37.5</c:v>
                </c:pt>
                <c:pt idx="20">
                  <c:v>37.5</c:v>
                </c:pt>
                <c:pt idx="21">
                  <c:v>37.5</c:v>
                </c:pt>
                <c:pt idx="22">
                  <c:v>37.5</c:v>
                </c:pt>
                <c:pt idx="23">
                  <c:v>37.5</c:v>
                </c:pt>
                <c:pt idx="24">
                  <c:v>37.5</c:v>
                </c:pt>
                <c:pt idx="25">
                  <c:v>37.5</c:v>
                </c:pt>
                <c:pt idx="26">
                  <c:v>37.5</c:v>
                </c:pt>
                <c:pt idx="27">
                  <c:v>37.5</c:v>
                </c:pt>
                <c:pt idx="28">
                  <c:v>37.5</c:v>
                </c:pt>
                <c:pt idx="29">
                  <c:v>37.5</c:v>
                </c:pt>
                <c:pt idx="30">
                  <c:v>37.5</c:v>
                </c:pt>
                <c:pt idx="31">
                  <c:v>37.5</c:v>
                </c:pt>
                <c:pt idx="32">
                  <c:v>37.5</c:v>
                </c:pt>
                <c:pt idx="33">
                  <c:v>37.5</c:v>
                </c:pt>
                <c:pt idx="34">
                  <c:v>37.5</c:v>
                </c:pt>
                <c:pt idx="35">
                  <c:v>37.5</c:v>
                </c:pt>
                <c:pt idx="36">
                  <c:v>37.5</c:v>
                </c:pt>
                <c:pt idx="37">
                  <c:v>37.5</c:v>
                </c:pt>
                <c:pt idx="38">
                  <c:v>37.5</c:v>
                </c:pt>
                <c:pt idx="39">
                  <c:v>37.5</c:v>
                </c:pt>
                <c:pt idx="40">
                  <c:v>37.5</c:v>
                </c:pt>
                <c:pt idx="41">
                  <c:v>37.5</c:v>
                </c:pt>
                <c:pt idx="42">
                  <c:v>37.5</c:v>
                </c:pt>
                <c:pt idx="43">
                  <c:v>37.5</c:v>
                </c:pt>
                <c:pt idx="44">
                  <c:v>37.5</c:v>
                </c:pt>
                <c:pt idx="45">
                  <c:v>37.5</c:v>
                </c:pt>
                <c:pt idx="46">
                  <c:v>37.5</c:v>
                </c:pt>
                <c:pt idx="47">
                  <c:v>37.5</c:v>
                </c:pt>
                <c:pt idx="48">
                  <c:v>37.5</c:v>
                </c:pt>
                <c:pt idx="49">
                  <c:v>37.5</c:v>
                </c:pt>
                <c:pt idx="50">
                  <c:v>37.5</c:v>
                </c:pt>
                <c:pt idx="51">
                  <c:v>37.5</c:v>
                </c:pt>
                <c:pt idx="52">
                  <c:v>37.5</c:v>
                </c:pt>
                <c:pt idx="53">
                  <c:v>37.5</c:v>
                </c:pt>
                <c:pt idx="54">
                  <c:v>37.5</c:v>
                </c:pt>
                <c:pt idx="55">
                  <c:v>37.5</c:v>
                </c:pt>
                <c:pt idx="56">
                  <c:v>37.5</c:v>
                </c:pt>
                <c:pt idx="57">
                  <c:v>37.5</c:v>
                </c:pt>
                <c:pt idx="58">
                  <c:v>37.5</c:v>
                </c:pt>
                <c:pt idx="59">
                  <c:v>37.5</c:v>
                </c:pt>
                <c:pt idx="60">
                  <c:v>37.5</c:v>
                </c:pt>
                <c:pt idx="61">
                  <c:v>37.5</c:v>
                </c:pt>
                <c:pt idx="62">
                  <c:v>37.5</c:v>
                </c:pt>
                <c:pt idx="63">
                  <c:v>37.5</c:v>
                </c:pt>
                <c:pt idx="64">
                  <c:v>37.5</c:v>
                </c:pt>
                <c:pt idx="65">
                  <c:v>37.5</c:v>
                </c:pt>
                <c:pt idx="66">
                  <c:v>37.5</c:v>
                </c:pt>
                <c:pt idx="67">
                  <c:v>37.5</c:v>
                </c:pt>
                <c:pt idx="68">
                  <c:v>37.5</c:v>
                </c:pt>
                <c:pt idx="69">
                  <c:v>37.5</c:v>
                </c:pt>
                <c:pt idx="70">
                  <c:v>37.5</c:v>
                </c:pt>
                <c:pt idx="71">
                  <c:v>37.5</c:v>
                </c:pt>
                <c:pt idx="72">
                  <c:v>37.5</c:v>
                </c:pt>
                <c:pt idx="73">
                  <c:v>37.5</c:v>
                </c:pt>
                <c:pt idx="74">
                  <c:v>37.5</c:v>
                </c:pt>
                <c:pt idx="75">
                  <c:v>37.5</c:v>
                </c:pt>
                <c:pt idx="76">
                  <c:v>37.5</c:v>
                </c:pt>
                <c:pt idx="77">
                  <c:v>37.5</c:v>
                </c:pt>
                <c:pt idx="78">
                  <c:v>37.5</c:v>
                </c:pt>
                <c:pt idx="79">
                  <c:v>37.5</c:v>
                </c:pt>
                <c:pt idx="80">
                  <c:v>37.5</c:v>
                </c:pt>
                <c:pt idx="81">
                  <c:v>37.5</c:v>
                </c:pt>
                <c:pt idx="82">
                  <c:v>37.5</c:v>
                </c:pt>
                <c:pt idx="83">
                  <c:v>37.5</c:v>
                </c:pt>
                <c:pt idx="84">
                  <c:v>37.5</c:v>
                </c:pt>
                <c:pt idx="85">
                  <c:v>37.5</c:v>
                </c:pt>
                <c:pt idx="86">
                  <c:v>37.5</c:v>
                </c:pt>
                <c:pt idx="87">
                  <c:v>37.5</c:v>
                </c:pt>
                <c:pt idx="88">
                  <c:v>37.5</c:v>
                </c:pt>
                <c:pt idx="89">
                  <c:v>37.5</c:v>
                </c:pt>
                <c:pt idx="90">
                  <c:v>37.5</c:v>
                </c:pt>
                <c:pt idx="91">
                  <c:v>37.5</c:v>
                </c:pt>
                <c:pt idx="92">
                  <c:v>37.5</c:v>
                </c:pt>
                <c:pt idx="93">
                  <c:v>37.5</c:v>
                </c:pt>
                <c:pt idx="94">
                  <c:v>37.5</c:v>
                </c:pt>
                <c:pt idx="95">
                  <c:v>37.5</c:v>
                </c:pt>
                <c:pt idx="96">
                  <c:v>37.5</c:v>
                </c:pt>
                <c:pt idx="97">
                  <c:v>37.5</c:v>
                </c:pt>
                <c:pt idx="98">
                  <c:v>37.5</c:v>
                </c:pt>
                <c:pt idx="99">
                  <c:v>37.5</c:v>
                </c:pt>
                <c:pt idx="100">
                  <c:v>37.5</c:v>
                </c:pt>
                <c:pt idx="101">
                  <c:v>37.5</c:v>
                </c:pt>
                <c:pt idx="102">
                  <c:v>37.5</c:v>
                </c:pt>
                <c:pt idx="103">
                  <c:v>37.5</c:v>
                </c:pt>
                <c:pt idx="104">
                  <c:v>37.5</c:v>
                </c:pt>
                <c:pt idx="105">
                  <c:v>37.5</c:v>
                </c:pt>
                <c:pt idx="106">
                  <c:v>37.5</c:v>
                </c:pt>
                <c:pt idx="107">
                  <c:v>37.5</c:v>
                </c:pt>
                <c:pt idx="108">
                  <c:v>37.5</c:v>
                </c:pt>
                <c:pt idx="109">
                  <c:v>37.5</c:v>
                </c:pt>
                <c:pt idx="110">
                  <c:v>37.5</c:v>
                </c:pt>
                <c:pt idx="111">
                  <c:v>37.5</c:v>
                </c:pt>
                <c:pt idx="112">
                  <c:v>37.5</c:v>
                </c:pt>
                <c:pt idx="113">
                  <c:v>37.5</c:v>
                </c:pt>
                <c:pt idx="114">
                  <c:v>37.5</c:v>
                </c:pt>
                <c:pt idx="115">
                  <c:v>37.5</c:v>
                </c:pt>
                <c:pt idx="116">
                  <c:v>37.5</c:v>
                </c:pt>
                <c:pt idx="117">
                  <c:v>37.5</c:v>
                </c:pt>
                <c:pt idx="118">
                  <c:v>37.5</c:v>
                </c:pt>
                <c:pt idx="119">
                  <c:v>37.5</c:v>
                </c:pt>
                <c:pt idx="120">
                  <c:v>37.5</c:v>
                </c:pt>
                <c:pt idx="121">
                  <c:v>37.5</c:v>
                </c:pt>
                <c:pt idx="122">
                  <c:v>37.5</c:v>
                </c:pt>
                <c:pt idx="123">
                  <c:v>37.5</c:v>
                </c:pt>
                <c:pt idx="124">
                  <c:v>37.5</c:v>
                </c:pt>
                <c:pt idx="125">
                  <c:v>37.5</c:v>
                </c:pt>
                <c:pt idx="126">
                  <c:v>37.5</c:v>
                </c:pt>
                <c:pt idx="127">
                  <c:v>37.5</c:v>
                </c:pt>
                <c:pt idx="128">
                  <c:v>37.5</c:v>
                </c:pt>
                <c:pt idx="129">
                  <c:v>37.5</c:v>
                </c:pt>
                <c:pt idx="130">
                  <c:v>37.5</c:v>
                </c:pt>
                <c:pt idx="131">
                  <c:v>37.5</c:v>
                </c:pt>
                <c:pt idx="132">
                  <c:v>37.5</c:v>
                </c:pt>
                <c:pt idx="133">
                  <c:v>37.5</c:v>
                </c:pt>
                <c:pt idx="134">
                  <c:v>37.5</c:v>
                </c:pt>
                <c:pt idx="135">
                  <c:v>37.5</c:v>
                </c:pt>
                <c:pt idx="136">
                  <c:v>37.5</c:v>
                </c:pt>
                <c:pt idx="137">
                  <c:v>37.5</c:v>
                </c:pt>
                <c:pt idx="138">
                  <c:v>37.5</c:v>
                </c:pt>
                <c:pt idx="139">
                  <c:v>37.5</c:v>
                </c:pt>
                <c:pt idx="140">
                  <c:v>37.5</c:v>
                </c:pt>
                <c:pt idx="141">
                  <c:v>37.5</c:v>
                </c:pt>
                <c:pt idx="142">
                  <c:v>37.5</c:v>
                </c:pt>
                <c:pt idx="143">
                  <c:v>37.5</c:v>
                </c:pt>
                <c:pt idx="144">
                  <c:v>37.5</c:v>
                </c:pt>
                <c:pt idx="145">
                  <c:v>37.5</c:v>
                </c:pt>
                <c:pt idx="146">
                  <c:v>37.5</c:v>
                </c:pt>
                <c:pt idx="147">
                  <c:v>37.5</c:v>
                </c:pt>
                <c:pt idx="148">
                  <c:v>37.5</c:v>
                </c:pt>
                <c:pt idx="149">
                  <c:v>37.5</c:v>
                </c:pt>
                <c:pt idx="150">
                  <c:v>37.5</c:v>
                </c:pt>
                <c:pt idx="151">
                  <c:v>37.5</c:v>
                </c:pt>
                <c:pt idx="152">
                  <c:v>37.5</c:v>
                </c:pt>
                <c:pt idx="153">
                  <c:v>37.5</c:v>
                </c:pt>
                <c:pt idx="154">
                  <c:v>37.5</c:v>
                </c:pt>
                <c:pt idx="155">
                  <c:v>37.5</c:v>
                </c:pt>
                <c:pt idx="156">
                  <c:v>37.5</c:v>
                </c:pt>
                <c:pt idx="157">
                  <c:v>37.5</c:v>
                </c:pt>
                <c:pt idx="158">
                  <c:v>37.5</c:v>
                </c:pt>
                <c:pt idx="159">
                  <c:v>37.5</c:v>
                </c:pt>
                <c:pt idx="160">
                  <c:v>37.5</c:v>
                </c:pt>
                <c:pt idx="161">
                  <c:v>37.5</c:v>
                </c:pt>
                <c:pt idx="162">
                  <c:v>37.5</c:v>
                </c:pt>
                <c:pt idx="163">
                  <c:v>37.5</c:v>
                </c:pt>
                <c:pt idx="164">
                  <c:v>37.5</c:v>
                </c:pt>
                <c:pt idx="165">
                  <c:v>37.5</c:v>
                </c:pt>
                <c:pt idx="166">
                  <c:v>37.5</c:v>
                </c:pt>
                <c:pt idx="167">
                  <c:v>37.5</c:v>
                </c:pt>
                <c:pt idx="168">
                  <c:v>37.5</c:v>
                </c:pt>
                <c:pt idx="169">
                  <c:v>37.5</c:v>
                </c:pt>
                <c:pt idx="170">
                  <c:v>37.5</c:v>
                </c:pt>
                <c:pt idx="171">
                  <c:v>37.5</c:v>
                </c:pt>
                <c:pt idx="172">
                  <c:v>37.5</c:v>
                </c:pt>
                <c:pt idx="173">
                  <c:v>37.5</c:v>
                </c:pt>
                <c:pt idx="174">
                  <c:v>37.5</c:v>
                </c:pt>
                <c:pt idx="175">
                  <c:v>37.5</c:v>
                </c:pt>
                <c:pt idx="176">
                  <c:v>37.5</c:v>
                </c:pt>
                <c:pt idx="177">
                  <c:v>37.5</c:v>
                </c:pt>
                <c:pt idx="178">
                  <c:v>37.5</c:v>
                </c:pt>
                <c:pt idx="179">
                  <c:v>37.5</c:v>
                </c:pt>
                <c:pt idx="180">
                  <c:v>37.5</c:v>
                </c:pt>
                <c:pt idx="181">
                  <c:v>37.5</c:v>
                </c:pt>
                <c:pt idx="182">
                  <c:v>37.5</c:v>
                </c:pt>
                <c:pt idx="183">
                  <c:v>37.5</c:v>
                </c:pt>
                <c:pt idx="184">
                  <c:v>37.5</c:v>
                </c:pt>
                <c:pt idx="185">
                  <c:v>37.5</c:v>
                </c:pt>
                <c:pt idx="186">
                  <c:v>37.5</c:v>
                </c:pt>
                <c:pt idx="187">
                  <c:v>37.5</c:v>
                </c:pt>
                <c:pt idx="188">
                  <c:v>37.5</c:v>
                </c:pt>
                <c:pt idx="189">
                  <c:v>37.5</c:v>
                </c:pt>
                <c:pt idx="190">
                  <c:v>37.5</c:v>
                </c:pt>
                <c:pt idx="191">
                  <c:v>37.5</c:v>
                </c:pt>
                <c:pt idx="192">
                  <c:v>37.5</c:v>
                </c:pt>
                <c:pt idx="193">
                  <c:v>37.5</c:v>
                </c:pt>
                <c:pt idx="194">
                  <c:v>37.5</c:v>
                </c:pt>
                <c:pt idx="195">
                  <c:v>37.5</c:v>
                </c:pt>
                <c:pt idx="196">
                  <c:v>37.5</c:v>
                </c:pt>
                <c:pt idx="197">
                  <c:v>37.5</c:v>
                </c:pt>
                <c:pt idx="198">
                  <c:v>37.5</c:v>
                </c:pt>
                <c:pt idx="199">
                  <c:v>37.5</c:v>
                </c:pt>
                <c:pt idx="200">
                  <c:v>37.5</c:v>
                </c:pt>
                <c:pt idx="201">
                  <c:v>37.5</c:v>
                </c:pt>
                <c:pt idx="202">
                  <c:v>37.5</c:v>
                </c:pt>
                <c:pt idx="203">
                  <c:v>37.5</c:v>
                </c:pt>
                <c:pt idx="204">
                  <c:v>37.5</c:v>
                </c:pt>
                <c:pt idx="205">
                  <c:v>37.5</c:v>
                </c:pt>
                <c:pt idx="206">
                  <c:v>37.5</c:v>
                </c:pt>
                <c:pt idx="207">
                  <c:v>37.5</c:v>
                </c:pt>
                <c:pt idx="208">
                  <c:v>37.5</c:v>
                </c:pt>
                <c:pt idx="209">
                  <c:v>37.5</c:v>
                </c:pt>
                <c:pt idx="210">
                  <c:v>37.5</c:v>
                </c:pt>
                <c:pt idx="211">
                  <c:v>37.5</c:v>
                </c:pt>
                <c:pt idx="212">
                  <c:v>37.5</c:v>
                </c:pt>
                <c:pt idx="213">
                  <c:v>37.5</c:v>
                </c:pt>
                <c:pt idx="214">
                  <c:v>37.5</c:v>
                </c:pt>
                <c:pt idx="215">
                  <c:v>37.5</c:v>
                </c:pt>
                <c:pt idx="216">
                  <c:v>37.5</c:v>
                </c:pt>
                <c:pt idx="217">
                  <c:v>37.5</c:v>
                </c:pt>
                <c:pt idx="218">
                  <c:v>37.5</c:v>
                </c:pt>
                <c:pt idx="219">
                  <c:v>37.5</c:v>
                </c:pt>
                <c:pt idx="220">
                  <c:v>37.5</c:v>
                </c:pt>
                <c:pt idx="221">
                  <c:v>37.5</c:v>
                </c:pt>
                <c:pt idx="222">
                  <c:v>37.5</c:v>
                </c:pt>
                <c:pt idx="223">
                  <c:v>37.5</c:v>
                </c:pt>
                <c:pt idx="224">
                  <c:v>37.5</c:v>
                </c:pt>
                <c:pt idx="225">
                  <c:v>37.5</c:v>
                </c:pt>
                <c:pt idx="226">
                  <c:v>37.5</c:v>
                </c:pt>
                <c:pt idx="227">
                  <c:v>37.5</c:v>
                </c:pt>
                <c:pt idx="228">
                  <c:v>37.5</c:v>
                </c:pt>
                <c:pt idx="229">
                  <c:v>37.5</c:v>
                </c:pt>
                <c:pt idx="230">
                  <c:v>37.5</c:v>
                </c:pt>
                <c:pt idx="231">
                  <c:v>37.5</c:v>
                </c:pt>
                <c:pt idx="232">
                  <c:v>37.5</c:v>
                </c:pt>
                <c:pt idx="233">
                  <c:v>37.5</c:v>
                </c:pt>
                <c:pt idx="234">
                  <c:v>37.5</c:v>
                </c:pt>
                <c:pt idx="235">
                  <c:v>37.5</c:v>
                </c:pt>
                <c:pt idx="236">
                  <c:v>37.5</c:v>
                </c:pt>
                <c:pt idx="237">
                  <c:v>37.5</c:v>
                </c:pt>
                <c:pt idx="238">
                  <c:v>37.5</c:v>
                </c:pt>
                <c:pt idx="239">
                  <c:v>37.5</c:v>
                </c:pt>
                <c:pt idx="240">
                  <c:v>37.5</c:v>
                </c:pt>
                <c:pt idx="241">
                  <c:v>37.5</c:v>
                </c:pt>
                <c:pt idx="242">
                  <c:v>37.5</c:v>
                </c:pt>
                <c:pt idx="243">
                  <c:v>37.5</c:v>
                </c:pt>
                <c:pt idx="244">
                  <c:v>37.5</c:v>
                </c:pt>
                <c:pt idx="245">
                  <c:v>37.5</c:v>
                </c:pt>
                <c:pt idx="246">
                  <c:v>37.5</c:v>
                </c:pt>
                <c:pt idx="247">
                  <c:v>37.5</c:v>
                </c:pt>
                <c:pt idx="248">
                  <c:v>37.5</c:v>
                </c:pt>
                <c:pt idx="249">
                  <c:v>37.5</c:v>
                </c:pt>
                <c:pt idx="250">
                  <c:v>37.5</c:v>
                </c:pt>
                <c:pt idx="251">
                  <c:v>37.5</c:v>
                </c:pt>
                <c:pt idx="252">
                  <c:v>37.5</c:v>
                </c:pt>
                <c:pt idx="253">
                  <c:v>37.5</c:v>
                </c:pt>
                <c:pt idx="254">
                  <c:v>37.5</c:v>
                </c:pt>
                <c:pt idx="255">
                  <c:v>37.5</c:v>
                </c:pt>
                <c:pt idx="256">
                  <c:v>37.5</c:v>
                </c:pt>
                <c:pt idx="257">
                  <c:v>37.5</c:v>
                </c:pt>
                <c:pt idx="258">
                  <c:v>37.5</c:v>
                </c:pt>
                <c:pt idx="259">
                  <c:v>37.5</c:v>
                </c:pt>
                <c:pt idx="260">
                  <c:v>37.5</c:v>
                </c:pt>
                <c:pt idx="261">
                  <c:v>37.5</c:v>
                </c:pt>
                <c:pt idx="262">
                  <c:v>37.5</c:v>
                </c:pt>
                <c:pt idx="263">
                  <c:v>37.5</c:v>
                </c:pt>
                <c:pt idx="264">
                  <c:v>37.5</c:v>
                </c:pt>
                <c:pt idx="265">
                  <c:v>37.5</c:v>
                </c:pt>
                <c:pt idx="266">
                  <c:v>37.5</c:v>
                </c:pt>
                <c:pt idx="267">
                  <c:v>37.5</c:v>
                </c:pt>
                <c:pt idx="268">
                  <c:v>37.5</c:v>
                </c:pt>
                <c:pt idx="269">
                  <c:v>37.5</c:v>
                </c:pt>
                <c:pt idx="270">
                  <c:v>37.5</c:v>
                </c:pt>
                <c:pt idx="271">
                  <c:v>37.5</c:v>
                </c:pt>
                <c:pt idx="272">
                  <c:v>37.5</c:v>
                </c:pt>
                <c:pt idx="273">
                  <c:v>37.5</c:v>
                </c:pt>
                <c:pt idx="274">
                  <c:v>37.5</c:v>
                </c:pt>
                <c:pt idx="275">
                  <c:v>37.5</c:v>
                </c:pt>
                <c:pt idx="276">
                  <c:v>37.5</c:v>
                </c:pt>
                <c:pt idx="277">
                  <c:v>37.5</c:v>
                </c:pt>
                <c:pt idx="278">
                  <c:v>37.5</c:v>
                </c:pt>
                <c:pt idx="279">
                  <c:v>37.5</c:v>
                </c:pt>
                <c:pt idx="280">
                  <c:v>37.5</c:v>
                </c:pt>
                <c:pt idx="281">
                  <c:v>37.5</c:v>
                </c:pt>
                <c:pt idx="282">
                  <c:v>37.5</c:v>
                </c:pt>
                <c:pt idx="283">
                  <c:v>37.5</c:v>
                </c:pt>
                <c:pt idx="284">
                  <c:v>37.5</c:v>
                </c:pt>
                <c:pt idx="285">
                  <c:v>37.5</c:v>
                </c:pt>
                <c:pt idx="286">
                  <c:v>37.5</c:v>
                </c:pt>
                <c:pt idx="287">
                  <c:v>37.5</c:v>
                </c:pt>
                <c:pt idx="288">
                  <c:v>37.5</c:v>
                </c:pt>
                <c:pt idx="289">
                  <c:v>37.5</c:v>
                </c:pt>
                <c:pt idx="290">
                  <c:v>37.5</c:v>
                </c:pt>
                <c:pt idx="291">
                  <c:v>37.5</c:v>
                </c:pt>
                <c:pt idx="292">
                  <c:v>37.5</c:v>
                </c:pt>
                <c:pt idx="293">
                  <c:v>37.5</c:v>
                </c:pt>
                <c:pt idx="294">
                  <c:v>37.5</c:v>
                </c:pt>
                <c:pt idx="295">
                  <c:v>37.5</c:v>
                </c:pt>
                <c:pt idx="296">
                  <c:v>37.5</c:v>
                </c:pt>
                <c:pt idx="297">
                  <c:v>37.5</c:v>
                </c:pt>
              </c:numCache>
            </c:numRef>
          </c:val>
          <c:smooth val="0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marker val="0"/>
        <c:smooth val="0"/>
        <c:axId val="511721971"/>
        <c:axId val="511721972"/>
      </c:lineChart>
      <c:catAx>
        <c:axId val="511721971"/>
        <c:scaling>
          <c:orientation val="minMax"/>
        </c:scaling>
        <c:delete val="0"/>
        <c:axPos val="b"/>
        <c:title>
          <c:tx>
            <c:rich>
              <a:bodyPr/>
              <a:p>
                <a:pPr>
                  <a:defRPr/>
                </a:pPr>
                <a:r>
                  <a:rPr/>
                  <a:t>Time (minutes)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900" b="1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majorTickMark val="none"/>
        <c:minorTickMark val="out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511721972"/>
        <c:crosses val="autoZero"/>
        <c:auto val="1"/>
        <c:lblAlgn val="ctr"/>
        <c:lblOffset val="100"/>
        <c:tickLblSkip val="23"/>
        <c:tickMarkSkip val="1"/>
        <c:noMultiLvlLbl val="0"/>
      </c:catAx>
      <c:valAx>
        <c:axId val="511721972"/>
        <c:scaling>
          <c:orientation val="minMax"/>
          <c:min val="20.000000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5400000" scaled="0"/>
              </a:gradFill>
              <a:round/>
            </a:ln>
          </c:spPr>
        </c:majorGridlines>
        <c:minorGridlines>
          <c:spPr bwMode="auto">
            <a:prstGeom prst="rect">
              <a:avLst/>
            </a:prstGeom>
            <a:noFill/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  <a:alpha val="25000"/>
                    </a:schemeClr>
                  </a:gs>
                  <a:gs pos="100000">
                    <a:schemeClr val="dk1">
                      <a:lumMod val="75000"/>
                      <a:lumOff val="25000"/>
                      <a:alpha val="25000"/>
                    </a:schemeClr>
                  </a:gs>
                </a:gsLst>
                <a:lin ang="5400000" scaled="0"/>
              </a:gradFill>
              <a:round/>
            </a:ln>
          </c:spPr>
        </c:minorGridlines>
        <c:title>
          <c:tx>
            <c:rich>
              <a:bodyPr/>
              <a:p>
                <a:pPr>
                  <a:defRPr/>
                </a:pPr>
                <a:r>
                  <a:rPr/>
                  <a:t>Temperature (C)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900" b="1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511721971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t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0" y="9524"/>
      <a:ext cx="10020299" cy="5429249"/>
    </a:xfrm>
    <a:prstGeom prst="rect">
      <a:avLst/>
    </a:prstGeom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</c:spPr>
  <c:txPr>
    <a:bodyPr/>
    <a:p>
      <a:pPr>
        <a:defRPr sz="900">
          <a:solidFill>
            <a:schemeClr val="dk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1" cap="none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 Term (Kp=20)</c:v>
                </c:pt>
              </c:strCache>
            </c:strRef>
          </c:tx>
          <c:spPr bwMode="auto">
            <a:prstGeom prst="rect">
              <a:avLst/>
            </a:prstGeom>
            <a:noFill/>
            <a:ln w="12700" cap="rnd" cmpd="sng" algn="ctr">
              <a:solidFill>
                <a:srgbClr val="EE36FF"/>
              </a:solidFill>
              <a:prstDash val="solid"/>
              <a:miter lim="800000"/>
            </a:ln>
          </c:spPr>
          <c:marker>
            <c:symbol val="none"/>
          </c:marker>
          <c:cat>
            <c:numRef>
              <c:f>Sheet1!$J$2:$J$299</c:f>
            </c:numRef>
          </c:cat>
          <c:val>
            <c:numRef>
              <c:f>Sheet1!$B$2:$B$299</c:f>
            </c:numRef>
          </c:val>
          <c:smooth val="0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marker val="0"/>
        <c:smooth val="0"/>
        <c:axId val="511721977"/>
        <c:axId val="511721978"/>
      </c:lineChart>
      <c:catAx>
        <c:axId val="511721977"/>
        <c:scaling>
          <c:orientation val="minMax"/>
        </c:scaling>
        <c:delete val="0"/>
        <c:axPos val="b"/>
        <c:title>
          <c:tx>
            <c:rich>
              <a:bodyPr/>
              <a:p>
                <a:pPr>
                  <a:defRPr sz="900" b="1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/>
                  <a:t>Error (C)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900" b="1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majorTickMark val="none"/>
        <c:minorTickMark val="out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511721978"/>
        <c:crosses val="autoZero"/>
        <c:auto val="1"/>
        <c:lblAlgn val="ctr"/>
        <c:lblOffset val="100"/>
        <c:tickMarkSkip val="1"/>
        <c:noMultiLvlLbl val="0"/>
      </c:catAx>
      <c:valAx>
        <c:axId val="511721978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5400000" scaled="0"/>
              </a:gradFill>
              <a:round/>
            </a:ln>
          </c:spPr>
        </c:majorGridlines>
        <c:title>
          <c:tx>
            <c:rich>
              <a:bodyPr/>
              <a:p>
                <a:pPr>
                  <a:defRPr sz="900" b="1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/>
                  <a:t>P Term Output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900" b="1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511721977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t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0" y="10848974"/>
      <a:ext cx="10020299" cy="5438774"/>
    </a:xfrm>
    <a:prstGeom prst="rect">
      <a:avLst/>
    </a:prstGeom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</c:spPr>
  <c:txPr>
    <a:bodyPr/>
    <a:p>
      <a:pPr>
        <a:defRPr sz="900">
          <a:solidFill>
            <a:schemeClr val="dk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/>
            </a:pPr>
            <a:r>
              <a:rPr/>
              <a:t>"Better Than Nothing...again" P term Predictions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1" cap="none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>
          <c:layoutTarget val="inner"/>
          <c:xMode val="edge"/>
          <c:yMode val="edge"/>
          <c:x val="0.094370"/>
          <c:y val="0.142170"/>
          <c:w val="0.893530"/>
          <c:h val="0.780750"/>
        </c:manualLayout>
      </c:layout>
      <c:lineChart>
        <c:grouping val="standard"/>
        <c:varyColors val="0"/>
        <c:ser>
          <c:idx val="0"/>
          <c:order val="0"/>
          <c:tx>
            <c:strRef>
              <c:f>Sheet1!$D$1</c:f>
            </c:strRef>
          </c:tx>
          <c:spPr bwMode="auto">
            <a:prstGeom prst="rect">
              <a:avLst/>
            </a:prstGeom>
            <a:noFill/>
            <a:ln w="12700" cap="rnd" cmpd="sng" algn="ctr">
              <a:solidFill>
                <a:schemeClr val="bg1">
                  <a:lumMod val="95000"/>
                </a:schemeClr>
              </a:solidFill>
              <a:prstDash val="solid"/>
              <a:miter lim="800000"/>
            </a:ln>
          </c:spPr>
          <c:marker>
            <c:symbol val="none"/>
          </c:marker>
          <c:cat>
            <c:numRef>
              <c:f>Sheet1!$F$2:$F$299</c:f>
            </c:numRef>
          </c:cat>
          <c:val>
            <c:numRef>
              <c:f>Sheet1!$D$2:$D$299</c:f>
            </c:numRef>
          </c:val>
          <c:smooth val="0"/>
        </c:ser>
        <c:ser>
          <c:idx val="1"/>
          <c:order val="1"/>
          <c:tx>
            <c:strRef>
              <c:f>Sheet1!$K$1</c:f>
              <c:strCache>
                <c:ptCount val="1"/>
                <c:pt idx="0">
                  <c:v>Fake Kp (18)</c:v>
                </c:pt>
              </c:strCache>
            </c:strRef>
          </c:tx>
          <c:spPr bwMode="auto">
            <a:prstGeom prst="rect">
              <a:avLst/>
            </a:prstGeom>
            <a:noFill/>
            <a:ln w="12700" cap="rnd" cmpd="sng" algn="ctr">
              <a:solidFill>
                <a:srgbClr val="DBB0FF"/>
              </a:solidFill>
              <a:prstDash val="solid"/>
              <a:miter lim="800000"/>
            </a:ln>
          </c:spPr>
          <c:marker>
            <c:symbol val="none"/>
          </c:marker>
          <c:cat>
            <c:numRef>
              <c:f>Sheet1!$F$2:$F$299</c:f>
            </c:numRef>
          </c:cat>
          <c:val>
            <c:numRef>
              <c:f>Sheet1!$K$2:$K$299</c:f>
              <c:numCache>
                <c:formatCode>General</c:formatCode>
                <c:ptCount val="298"/>
                <c:pt idx="0">
                  <c:v>237.6</c:v>
                </c:pt>
                <c:pt idx="1">
                  <c:v>232.2</c:v>
                </c:pt>
                <c:pt idx="2">
                  <c:v>237.6</c:v>
                </c:pt>
                <c:pt idx="3">
                  <c:v>239.4</c:v>
                </c:pt>
                <c:pt idx="4">
                  <c:v>235.8</c:v>
                </c:pt>
                <c:pt idx="5">
                  <c:v>235.8</c:v>
                </c:pt>
                <c:pt idx="6">
                  <c:v>230.4</c:v>
                </c:pt>
                <c:pt idx="7">
                  <c:v>235.8</c:v>
                </c:pt>
                <c:pt idx="8">
                  <c:v>234</c:v>
                </c:pt>
                <c:pt idx="9">
                  <c:v>232.2</c:v>
                </c:pt>
                <c:pt idx="10">
                  <c:v>232.2</c:v>
                </c:pt>
                <c:pt idx="11">
                  <c:v>225</c:v>
                </c:pt>
                <c:pt idx="12">
                  <c:v>228.6</c:v>
                </c:pt>
                <c:pt idx="13">
                  <c:v>226.8</c:v>
                </c:pt>
                <c:pt idx="14">
                  <c:v>225</c:v>
                </c:pt>
                <c:pt idx="15">
                  <c:v>223.2</c:v>
                </c:pt>
                <c:pt idx="16">
                  <c:v>221.4</c:v>
                </c:pt>
                <c:pt idx="17">
                  <c:v>212.4</c:v>
                </c:pt>
                <c:pt idx="18">
                  <c:v>216</c:v>
                </c:pt>
                <c:pt idx="19">
                  <c:v>212.4</c:v>
                </c:pt>
                <c:pt idx="20">
                  <c:v>210.6</c:v>
                </c:pt>
                <c:pt idx="21">
                  <c:v>205.2</c:v>
                </c:pt>
                <c:pt idx="22">
                  <c:v>199.8</c:v>
                </c:pt>
                <c:pt idx="23">
                  <c:v>198</c:v>
                </c:pt>
                <c:pt idx="24">
                  <c:v>196.2</c:v>
                </c:pt>
                <c:pt idx="25">
                  <c:v>190.8</c:v>
                </c:pt>
                <c:pt idx="26">
                  <c:v>187.2</c:v>
                </c:pt>
                <c:pt idx="27">
                  <c:v>187.2</c:v>
                </c:pt>
                <c:pt idx="28">
                  <c:v>180</c:v>
                </c:pt>
                <c:pt idx="29">
                  <c:v>174.6</c:v>
                </c:pt>
                <c:pt idx="30">
                  <c:v>169.2</c:v>
                </c:pt>
                <c:pt idx="31">
                  <c:v>165.6</c:v>
                </c:pt>
                <c:pt idx="32">
                  <c:v>165.6</c:v>
                </c:pt>
                <c:pt idx="33">
                  <c:v>162</c:v>
                </c:pt>
                <c:pt idx="34">
                  <c:v>151.2</c:v>
                </c:pt>
                <c:pt idx="35">
                  <c:v>154.8</c:v>
                </c:pt>
                <c:pt idx="36">
                  <c:v>142.2</c:v>
                </c:pt>
                <c:pt idx="37">
                  <c:v>142.2</c:v>
                </c:pt>
                <c:pt idx="38">
                  <c:v>138.6</c:v>
                </c:pt>
                <c:pt idx="39">
                  <c:v>135</c:v>
                </c:pt>
                <c:pt idx="40">
                  <c:v>129.6</c:v>
                </c:pt>
                <c:pt idx="41">
                  <c:v>120.6</c:v>
                </c:pt>
                <c:pt idx="42">
                  <c:v>120.6</c:v>
                </c:pt>
                <c:pt idx="43">
                  <c:v>113.4</c:v>
                </c:pt>
                <c:pt idx="44">
                  <c:v>111.6</c:v>
                </c:pt>
                <c:pt idx="45">
                  <c:v>104.4</c:v>
                </c:pt>
                <c:pt idx="46">
                  <c:v>100.80000000000003</c:v>
                </c:pt>
                <c:pt idx="47">
                  <c:v>95.39999999999995</c:v>
                </c:pt>
                <c:pt idx="48">
                  <c:v>95.39999999999995</c:v>
                </c:pt>
                <c:pt idx="49">
                  <c:v>90</c:v>
                </c:pt>
                <c:pt idx="50">
                  <c:v>84.60000000000005</c:v>
                </c:pt>
                <c:pt idx="51">
                  <c:v>75.60000000000005</c:v>
                </c:pt>
                <c:pt idx="52">
                  <c:v>75.60000000000005</c:v>
                </c:pt>
                <c:pt idx="53">
                  <c:v>66.60000000000005</c:v>
                </c:pt>
                <c:pt idx="54">
                  <c:v>61.199999999999974</c:v>
                </c:pt>
                <c:pt idx="55">
                  <c:v>63</c:v>
                </c:pt>
                <c:pt idx="56">
                  <c:v>57.60000000000005</c:v>
                </c:pt>
                <c:pt idx="57">
                  <c:v>52.199999999999974</c:v>
                </c:pt>
                <c:pt idx="58">
                  <c:v>48.60000000000005</c:v>
                </c:pt>
                <c:pt idx="59">
                  <c:v>43.199999999999974</c:v>
                </c:pt>
                <c:pt idx="60">
                  <c:v>36</c:v>
                </c:pt>
                <c:pt idx="61">
                  <c:v>32.39999999999995</c:v>
                </c:pt>
                <c:pt idx="62">
                  <c:v>28.800000000000026</c:v>
                </c:pt>
                <c:pt idx="63">
                  <c:v>27</c:v>
                </c:pt>
                <c:pt idx="64">
                  <c:v>23.39999999999995</c:v>
                </c:pt>
                <c:pt idx="65">
                  <c:v>19.800000000000026</c:v>
                </c:pt>
                <c:pt idx="66">
                  <c:v>14.399999999999949</c:v>
                </c:pt>
                <c:pt idx="67">
                  <c:v>12.600000000000051</c:v>
                </c:pt>
                <c:pt idx="68">
                  <c:v>7.199999999999974</c:v>
                </c:pt>
                <c:pt idx="69">
                  <c:v>1.8000000000000256</c:v>
                </c:pt>
                <c:pt idx="70">
                  <c:v>0</c:v>
                </c:pt>
                <c:pt idx="71">
                  <c:v>-1.8000000000000256</c:v>
                </c:pt>
                <c:pt idx="72">
                  <c:v>-7.199999999999974</c:v>
                </c:pt>
                <c:pt idx="73">
                  <c:v>-10.800000000000026</c:v>
                </c:pt>
                <c:pt idx="74">
                  <c:v>-12.600000000000051</c:v>
                </c:pt>
                <c:pt idx="75">
                  <c:v>-18</c:v>
                </c:pt>
                <c:pt idx="76">
                  <c:v>-18</c:v>
                </c:pt>
                <c:pt idx="77">
                  <c:v>-18</c:v>
                </c:pt>
                <c:pt idx="78">
                  <c:v>-21.60000000000005</c:v>
                </c:pt>
                <c:pt idx="79">
                  <c:v>-25.199999999999974</c:v>
                </c:pt>
                <c:pt idx="80">
                  <c:v>-28.800000000000026</c:v>
                </c:pt>
                <c:pt idx="81">
                  <c:v>-27</c:v>
                </c:pt>
                <c:pt idx="82">
                  <c:v>-30.60000000000005</c:v>
                </c:pt>
                <c:pt idx="83">
                  <c:v>-27</c:v>
                </c:pt>
                <c:pt idx="84">
                  <c:v>-28.800000000000026</c:v>
                </c:pt>
                <c:pt idx="85">
                  <c:v>-32.39999999999995</c:v>
                </c:pt>
                <c:pt idx="86">
                  <c:v>-32.39999999999995</c:v>
                </c:pt>
                <c:pt idx="87">
                  <c:v>-34.199999999999974</c:v>
                </c:pt>
                <c:pt idx="88">
                  <c:v>-37.800000000000026</c:v>
                </c:pt>
                <c:pt idx="89">
                  <c:v>-39.60000000000005</c:v>
                </c:pt>
                <c:pt idx="90">
                  <c:v>-37.800000000000026</c:v>
                </c:pt>
                <c:pt idx="91">
                  <c:v>-37.800000000000026</c:v>
                </c:pt>
                <c:pt idx="92">
                  <c:v>-39.60000000000005</c:v>
                </c:pt>
                <c:pt idx="93">
                  <c:v>-39.60000000000005</c:v>
                </c:pt>
                <c:pt idx="94">
                  <c:v>-39.60000000000005</c:v>
                </c:pt>
                <c:pt idx="95">
                  <c:v>-41.39999999999995</c:v>
                </c:pt>
                <c:pt idx="96">
                  <c:v>-39.60000000000005</c:v>
                </c:pt>
                <c:pt idx="97">
                  <c:v>-41.39999999999995</c:v>
                </c:pt>
                <c:pt idx="98">
                  <c:v>-43.199999999999974</c:v>
                </c:pt>
                <c:pt idx="99">
                  <c:v>-39.60000000000005</c:v>
                </c:pt>
                <c:pt idx="100">
                  <c:v>-37.800000000000026</c:v>
                </c:pt>
                <c:pt idx="101">
                  <c:v>-39.60000000000005</c:v>
                </c:pt>
                <c:pt idx="102">
                  <c:v>-37.800000000000026</c:v>
                </c:pt>
                <c:pt idx="103">
                  <c:v>-37.800000000000026</c:v>
                </c:pt>
                <c:pt idx="104">
                  <c:v>-39.60000000000005</c:v>
                </c:pt>
                <c:pt idx="105">
                  <c:v>-36</c:v>
                </c:pt>
                <c:pt idx="106">
                  <c:v>-36</c:v>
                </c:pt>
                <c:pt idx="107">
                  <c:v>-34.199999999999974</c:v>
                </c:pt>
                <c:pt idx="108">
                  <c:v>-32.39999999999995</c:v>
                </c:pt>
                <c:pt idx="109">
                  <c:v>-36</c:v>
                </c:pt>
                <c:pt idx="110">
                  <c:v>-32.39999999999995</c:v>
                </c:pt>
                <c:pt idx="111">
                  <c:v>-30.60000000000005</c:v>
                </c:pt>
                <c:pt idx="112">
                  <c:v>-27</c:v>
                </c:pt>
                <c:pt idx="113">
                  <c:v>-32.39999999999995</c:v>
                </c:pt>
                <c:pt idx="114">
                  <c:v>-30.60000000000005</c:v>
                </c:pt>
                <c:pt idx="115">
                  <c:v>-28.800000000000026</c:v>
                </c:pt>
                <c:pt idx="116">
                  <c:v>-23.39999999999995</c:v>
                </c:pt>
                <c:pt idx="117">
                  <c:v>-23.39999999999995</c:v>
                </c:pt>
                <c:pt idx="118">
                  <c:v>-25.199999999999974</c:v>
                </c:pt>
                <c:pt idx="119">
                  <c:v>-23.39999999999995</c:v>
                </c:pt>
                <c:pt idx="120">
                  <c:v>-18</c:v>
                </c:pt>
                <c:pt idx="121">
                  <c:v>-21.60000000000005</c:v>
                </c:pt>
                <c:pt idx="122">
                  <c:v>-19.800000000000026</c:v>
                </c:pt>
                <c:pt idx="123">
                  <c:v>-16.199999999999974</c:v>
                </c:pt>
                <c:pt idx="124">
                  <c:v>-18</c:v>
                </c:pt>
                <c:pt idx="125">
                  <c:v>-19.800000000000026</c:v>
                </c:pt>
                <c:pt idx="126">
                  <c:v>-16.199999999999974</c:v>
                </c:pt>
                <c:pt idx="127">
                  <c:v>-14.399999999999949</c:v>
                </c:pt>
                <c:pt idx="128">
                  <c:v>-12.600000000000051</c:v>
                </c:pt>
                <c:pt idx="129">
                  <c:v>-12.600000000000051</c:v>
                </c:pt>
                <c:pt idx="130">
                  <c:v>-9</c:v>
                </c:pt>
                <c:pt idx="131">
                  <c:v>-10.800000000000026</c:v>
                </c:pt>
                <c:pt idx="132">
                  <c:v>-9</c:v>
                </c:pt>
                <c:pt idx="133">
                  <c:v>-9</c:v>
                </c:pt>
                <c:pt idx="134">
                  <c:v>-7.199999999999974</c:v>
                </c:pt>
                <c:pt idx="135">
                  <c:v>-1.8000000000000256</c:v>
                </c:pt>
                <c:pt idx="136">
                  <c:v>-3.600000000000051</c:v>
                </c:pt>
                <c:pt idx="137">
                  <c:v>-3.600000000000051</c:v>
                </c:pt>
                <c:pt idx="138">
                  <c:v>0</c:v>
                </c:pt>
                <c:pt idx="139">
                  <c:v>3.600000000000051</c:v>
                </c:pt>
                <c:pt idx="140">
                  <c:v>1.8000000000000256</c:v>
                </c:pt>
                <c:pt idx="141">
                  <c:v>1.8000000000000256</c:v>
                </c:pt>
                <c:pt idx="142">
                  <c:v>3.600000000000051</c:v>
                </c:pt>
                <c:pt idx="143">
                  <c:v>5.399999999999949</c:v>
                </c:pt>
                <c:pt idx="144">
                  <c:v>1.8000000000000256</c:v>
                </c:pt>
                <c:pt idx="145">
                  <c:v>7.199999999999974</c:v>
                </c:pt>
                <c:pt idx="146">
                  <c:v>7.199999999999974</c:v>
                </c:pt>
                <c:pt idx="147">
                  <c:v>7.199999999999974</c:v>
                </c:pt>
                <c:pt idx="148">
                  <c:v>7.199999999999974</c:v>
                </c:pt>
                <c:pt idx="149">
                  <c:v>9</c:v>
                </c:pt>
                <c:pt idx="150">
                  <c:v>9</c:v>
                </c:pt>
                <c:pt idx="151">
                  <c:v>12.600000000000051</c:v>
                </c:pt>
                <c:pt idx="152">
                  <c:v>12.600000000000051</c:v>
                </c:pt>
                <c:pt idx="153">
                  <c:v>9</c:v>
                </c:pt>
                <c:pt idx="154">
                  <c:v>12.600000000000051</c:v>
                </c:pt>
                <c:pt idx="155">
                  <c:v>12.600000000000051</c:v>
                </c:pt>
                <c:pt idx="156">
                  <c:v>10.800000000000026</c:v>
                </c:pt>
                <c:pt idx="157">
                  <c:v>21.60000000000005</c:v>
                </c:pt>
                <c:pt idx="158">
                  <c:v>16.199999999999974</c:v>
                </c:pt>
                <c:pt idx="159">
                  <c:v>14.399999999999949</c:v>
                </c:pt>
                <c:pt idx="160">
                  <c:v>19.800000000000026</c:v>
                </c:pt>
                <c:pt idx="161">
                  <c:v>14.399999999999949</c:v>
                </c:pt>
                <c:pt idx="162">
                  <c:v>14.399999999999949</c:v>
                </c:pt>
                <c:pt idx="163">
                  <c:v>18</c:v>
                </c:pt>
                <c:pt idx="164">
                  <c:v>16.199999999999974</c:v>
                </c:pt>
                <c:pt idx="165">
                  <c:v>25.199999999999974</c:v>
                </c:pt>
                <c:pt idx="166">
                  <c:v>18</c:v>
                </c:pt>
                <c:pt idx="167">
                  <c:v>16.199999999999974</c:v>
                </c:pt>
                <c:pt idx="168">
                  <c:v>14.399999999999949</c:v>
                </c:pt>
                <c:pt idx="169">
                  <c:v>16.199999999999974</c:v>
                </c:pt>
                <c:pt idx="170">
                  <c:v>18</c:v>
                </c:pt>
                <c:pt idx="171">
                  <c:v>14.399999999999949</c:v>
                </c:pt>
                <c:pt idx="172">
                  <c:v>14.399999999999949</c:v>
                </c:pt>
                <c:pt idx="173">
                  <c:v>16.199999999999974</c:v>
                </c:pt>
                <c:pt idx="174">
                  <c:v>16.199999999999974</c:v>
                </c:pt>
                <c:pt idx="175">
                  <c:v>18</c:v>
                </c:pt>
                <c:pt idx="176">
                  <c:v>16.199999999999974</c:v>
                </c:pt>
                <c:pt idx="177">
                  <c:v>18</c:v>
                </c:pt>
                <c:pt idx="178">
                  <c:v>19.800000000000026</c:v>
                </c:pt>
                <c:pt idx="179">
                  <c:v>18</c:v>
                </c:pt>
                <c:pt idx="180">
                  <c:v>18</c:v>
                </c:pt>
                <c:pt idx="181">
                  <c:v>16.199999999999974</c:v>
                </c:pt>
                <c:pt idx="182">
                  <c:v>14.399999999999949</c:v>
                </c:pt>
                <c:pt idx="183">
                  <c:v>16.199999999999974</c:v>
                </c:pt>
                <c:pt idx="184">
                  <c:v>18</c:v>
                </c:pt>
                <c:pt idx="185">
                  <c:v>16.199999999999974</c:v>
                </c:pt>
                <c:pt idx="186">
                  <c:v>16.199999999999974</c:v>
                </c:pt>
                <c:pt idx="187">
                  <c:v>18</c:v>
                </c:pt>
                <c:pt idx="188">
                  <c:v>16.199999999999974</c:v>
                </c:pt>
                <c:pt idx="189">
                  <c:v>14.399999999999949</c:v>
                </c:pt>
                <c:pt idx="190">
                  <c:v>14.399999999999949</c:v>
                </c:pt>
                <c:pt idx="191">
                  <c:v>14.399999999999949</c:v>
                </c:pt>
                <c:pt idx="192">
                  <c:v>14.399999999999949</c:v>
                </c:pt>
                <c:pt idx="193">
                  <c:v>14.399999999999949</c:v>
                </c:pt>
                <c:pt idx="194">
                  <c:v>12.600000000000051</c:v>
                </c:pt>
                <c:pt idx="195">
                  <c:v>12.600000000000051</c:v>
                </c:pt>
                <c:pt idx="196">
                  <c:v>12.600000000000051</c:v>
                </c:pt>
                <c:pt idx="197">
                  <c:v>12.600000000000051</c:v>
                </c:pt>
                <c:pt idx="198">
                  <c:v>12.600000000000051</c:v>
                </c:pt>
                <c:pt idx="199">
                  <c:v>14.399999999999949</c:v>
                </c:pt>
                <c:pt idx="200">
                  <c:v>14.399999999999949</c:v>
                </c:pt>
                <c:pt idx="201">
                  <c:v>12.600000000000051</c:v>
                </c:pt>
                <c:pt idx="202">
                  <c:v>12.600000000000051</c:v>
                </c:pt>
                <c:pt idx="203">
                  <c:v>10.800000000000026</c:v>
                </c:pt>
                <c:pt idx="204">
                  <c:v>9</c:v>
                </c:pt>
                <c:pt idx="205">
                  <c:v>12.600000000000051</c:v>
                </c:pt>
                <c:pt idx="206">
                  <c:v>12.600000000000051</c:v>
                </c:pt>
                <c:pt idx="207">
                  <c:v>9</c:v>
                </c:pt>
                <c:pt idx="208">
                  <c:v>9</c:v>
                </c:pt>
                <c:pt idx="209">
                  <c:v>10.800000000000026</c:v>
                </c:pt>
                <c:pt idx="210">
                  <c:v>9</c:v>
                </c:pt>
                <c:pt idx="211">
                  <c:v>9</c:v>
                </c:pt>
                <c:pt idx="212">
                  <c:v>10.800000000000026</c:v>
                </c:pt>
                <c:pt idx="213">
                  <c:v>5.399999999999949</c:v>
                </c:pt>
                <c:pt idx="214">
                  <c:v>7.199999999999974</c:v>
                </c:pt>
                <c:pt idx="215">
                  <c:v>5.399999999999949</c:v>
                </c:pt>
                <c:pt idx="216">
                  <c:v>7.199999999999974</c:v>
                </c:pt>
                <c:pt idx="217">
                  <c:v>9</c:v>
                </c:pt>
                <c:pt idx="218">
                  <c:v>7.199999999999974</c:v>
                </c:pt>
                <c:pt idx="219">
                  <c:v>7.199999999999974</c:v>
                </c:pt>
                <c:pt idx="220">
                  <c:v>9</c:v>
                </c:pt>
                <c:pt idx="221">
                  <c:v>7.199999999999974</c:v>
                </c:pt>
                <c:pt idx="222">
                  <c:v>5.399999999999949</c:v>
                </c:pt>
                <c:pt idx="223">
                  <c:v>5.399999999999949</c:v>
                </c:pt>
                <c:pt idx="224">
                  <c:v>3.600000000000051</c:v>
                </c:pt>
                <c:pt idx="225">
                  <c:v>5.399999999999949</c:v>
                </c:pt>
                <c:pt idx="226">
                  <c:v>5.399999999999949</c:v>
                </c:pt>
                <c:pt idx="227">
                  <c:v>7.199999999999974</c:v>
                </c:pt>
                <c:pt idx="228">
                  <c:v>5.399999999999949</c:v>
                </c:pt>
                <c:pt idx="229">
                  <c:v>1.8000000000000256</c:v>
                </c:pt>
                <c:pt idx="230">
                  <c:v>5.399999999999949</c:v>
                </c:pt>
                <c:pt idx="231">
                  <c:v>3.600000000000051</c:v>
                </c:pt>
                <c:pt idx="232">
                  <c:v>5.399999999999949</c:v>
                </c:pt>
                <c:pt idx="233">
                  <c:v>7.199999999999974</c:v>
                </c:pt>
                <c:pt idx="234">
                  <c:v>3.600000000000051</c:v>
                </c:pt>
                <c:pt idx="235">
                  <c:v>3.600000000000051</c:v>
                </c:pt>
                <c:pt idx="236">
                  <c:v>3.600000000000051</c:v>
                </c:pt>
                <c:pt idx="237">
                  <c:v>5.399999999999949</c:v>
                </c:pt>
                <c:pt idx="238">
                  <c:v>1.8000000000000256</c:v>
                </c:pt>
                <c:pt idx="239">
                  <c:v>3.600000000000051</c:v>
                </c:pt>
                <c:pt idx="240">
                  <c:v>9</c:v>
                </c:pt>
                <c:pt idx="241">
                  <c:v>3.600000000000051</c:v>
                </c:pt>
                <c:pt idx="242">
                  <c:v>3.600000000000051</c:v>
                </c:pt>
                <c:pt idx="243">
                  <c:v>1.8000000000000256</c:v>
                </c:pt>
                <c:pt idx="244">
                  <c:v>1.8000000000000256</c:v>
                </c:pt>
                <c:pt idx="245">
                  <c:v>3.600000000000051</c:v>
                </c:pt>
                <c:pt idx="246">
                  <c:v>3.600000000000051</c:v>
                </c:pt>
                <c:pt idx="247">
                  <c:v>5.399999999999949</c:v>
                </c:pt>
                <c:pt idx="248">
                  <c:v>1.8000000000000256</c:v>
                </c:pt>
                <c:pt idx="249">
                  <c:v>3.600000000000051</c:v>
                </c:pt>
                <c:pt idx="250">
                  <c:v>5.399999999999949</c:v>
                </c:pt>
                <c:pt idx="251">
                  <c:v>5.399999999999949</c:v>
                </c:pt>
                <c:pt idx="252">
                  <c:v>3.600000000000051</c:v>
                </c:pt>
                <c:pt idx="253">
                  <c:v>3.600000000000051</c:v>
                </c:pt>
                <c:pt idx="254">
                  <c:v>1.8000000000000256</c:v>
                </c:pt>
                <c:pt idx="255">
                  <c:v>3.600000000000051</c:v>
                </c:pt>
                <c:pt idx="256">
                  <c:v>3.600000000000051</c:v>
                </c:pt>
                <c:pt idx="257">
                  <c:v>3.600000000000051</c:v>
                </c:pt>
                <c:pt idx="258">
                  <c:v>5.399999999999949</c:v>
                </c:pt>
                <c:pt idx="259">
                  <c:v>3.600000000000051</c:v>
                </c:pt>
                <c:pt idx="260">
                  <c:v>7.199999999999974</c:v>
                </c:pt>
                <c:pt idx="261">
                  <c:v>7.199999999999974</c:v>
                </c:pt>
                <c:pt idx="262">
                  <c:v>3.600000000000051</c:v>
                </c:pt>
                <c:pt idx="263">
                  <c:v>3.600000000000051</c:v>
                </c:pt>
                <c:pt idx="264">
                  <c:v>5.399999999999949</c:v>
                </c:pt>
                <c:pt idx="265">
                  <c:v>3.600000000000051</c:v>
                </c:pt>
                <c:pt idx="266">
                  <c:v>5.399999999999949</c:v>
                </c:pt>
                <c:pt idx="267">
                  <c:v>0</c:v>
                </c:pt>
                <c:pt idx="268">
                  <c:v>5.399999999999949</c:v>
                </c:pt>
                <c:pt idx="269">
                  <c:v>0</c:v>
                </c:pt>
                <c:pt idx="270">
                  <c:v>5.399999999999949</c:v>
                </c:pt>
                <c:pt idx="271">
                  <c:v>1.8000000000000256</c:v>
                </c:pt>
                <c:pt idx="272">
                  <c:v>3.600000000000051</c:v>
                </c:pt>
                <c:pt idx="273">
                  <c:v>1.8000000000000256</c:v>
                </c:pt>
                <c:pt idx="274">
                  <c:v>5.399999999999949</c:v>
                </c:pt>
                <c:pt idx="275">
                  <c:v>5.399999999999949</c:v>
                </c:pt>
                <c:pt idx="276">
                  <c:v>7.199999999999974</c:v>
                </c:pt>
                <c:pt idx="277">
                  <c:v>3.600000000000051</c:v>
                </c:pt>
                <c:pt idx="278">
                  <c:v>5.399999999999949</c:v>
                </c:pt>
                <c:pt idx="279">
                  <c:v>3.600000000000051</c:v>
                </c:pt>
                <c:pt idx="280">
                  <c:v>5.399999999999949</c:v>
                </c:pt>
                <c:pt idx="281">
                  <c:v>3.600000000000051</c:v>
                </c:pt>
                <c:pt idx="282">
                  <c:v>7.199999999999974</c:v>
                </c:pt>
                <c:pt idx="283">
                  <c:v>5.399999999999949</c:v>
                </c:pt>
                <c:pt idx="284">
                  <c:v>3.600000000000051</c:v>
                </c:pt>
                <c:pt idx="285">
                  <c:v>3.600000000000051</c:v>
                </c:pt>
                <c:pt idx="286">
                  <c:v>1.8000000000000256</c:v>
                </c:pt>
                <c:pt idx="287">
                  <c:v>5.399999999999949</c:v>
                </c:pt>
                <c:pt idx="288">
                  <c:v>3.600000000000051</c:v>
                </c:pt>
                <c:pt idx="289">
                  <c:v>1.8000000000000256</c:v>
                </c:pt>
                <c:pt idx="290">
                  <c:v>5.399999999999949</c:v>
                </c:pt>
                <c:pt idx="291">
                  <c:v>3.600000000000051</c:v>
                </c:pt>
                <c:pt idx="292">
                  <c:v>5.399999999999949</c:v>
                </c:pt>
                <c:pt idx="293">
                  <c:v>5.399999999999949</c:v>
                </c:pt>
                <c:pt idx="294">
                  <c:v>3.600000000000051</c:v>
                </c:pt>
                <c:pt idx="295">
                  <c:v>-3.600000000000051</c:v>
                </c:pt>
                <c:pt idx="296">
                  <c:v>5.399999999999949</c:v>
                </c:pt>
                <c:pt idx="297">
                  <c:v>5.399999999999949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Sheet1!$L$1</c:f>
              <c:strCache>
                <c:ptCount val="1"/>
                <c:pt idx="0">
                  <c:v>Fake Kp (16)</c:v>
                </c:pt>
              </c:strCache>
            </c:strRef>
          </c:tx>
          <c:spPr bwMode="auto">
            <a:prstGeom prst="rect">
              <a:avLst/>
            </a:prstGeom>
            <a:noFill/>
            <a:ln w="12700" cap="rnd" cmpd="sng" algn="ctr">
              <a:solidFill>
                <a:srgbClr val="E96BFF"/>
              </a:solidFill>
              <a:prstDash val="solid"/>
              <a:miter lim="800000"/>
            </a:ln>
          </c:spPr>
          <c:marker>
            <c:symbol val="none"/>
          </c:marker>
          <c:cat>
            <c:numRef>
              <c:f>Sheet1!$F$2:$F$299</c:f>
            </c:numRef>
          </c:cat>
          <c:val>
            <c:numRef>
              <c:f>Sheet1!$L$2:$L$299</c:f>
              <c:numCache>
                <c:formatCode>General</c:formatCode>
                <c:ptCount val="298"/>
                <c:pt idx="0">
                  <c:v>211.2</c:v>
                </c:pt>
                <c:pt idx="1">
                  <c:v>206.39999999999998</c:v>
                </c:pt>
                <c:pt idx="2">
                  <c:v>211.2</c:v>
                </c:pt>
                <c:pt idx="3">
                  <c:v>212.8</c:v>
                </c:pt>
                <c:pt idx="4">
                  <c:v>209.60000000000002</c:v>
                </c:pt>
                <c:pt idx="5">
                  <c:v>209.60000000000002</c:v>
                </c:pt>
                <c:pt idx="6">
                  <c:v>204.8</c:v>
                </c:pt>
                <c:pt idx="7">
                  <c:v>209.60000000000002</c:v>
                </c:pt>
                <c:pt idx="8">
                  <c:v>208</c:v>
                </c:pt>
                <c:pt idx="9">
                  <c:v>206.39999999999998</c:v>
                </c:pt>
                <c:pt idx="10">
                  <c:v>206.39999999999998</c:v>
                </c:pt>
                <c:pt idx="11">
                  <c:v>200</c:v>
                </c:pt>
                <c:pt idx="12">
                  <c:v>203.2</c:v>
                </c:pt>
                <c:pt idx="13">
                  <c:v>201.60000000000002</c:v>
                </c:pt>
                <c:pt idx="14">
                  <c:v>200</c:v>
                </c:pt>
                <c:pt idx="15">
                  <c:v>198.39999999999998</c:v>
                </c:pt>
                <c:pt idx="16">
                  <c:v>196.8</c:v>
                </c:pt>
                <c:pt idx="17">
                  <c:v>188.8</c:v>
                </c:pt>
                <c:pt idx="18">
                  <c:v>192</c:v>
                </c:pt>
                <c:pt idx="19">
                  <c:v>188.8</c:v>
                </c:pt>
                <c:pt idx="20">
                  <c:v>187.2</c:v>
                </c:pt>
                <c:pt idx="21">
                  <c:v>182.39999999999998</c:v>
                </c:pt>
                <c:pt idx="22">
                  <c:v>177.60000000000002</c:v>
                </c:pt>
                <c:pt idx="23">
                  <c:v>176</c:v>
                </c:pt>
                <c:pt idx="24">
                  <c:v>174.39999999999998</c:v>
                </c:pt>
                <c:pt idx="25">
                  <c:v>169.60000000000002</c:v>
                </c:pt>
                <c:pt idx="26">
                  <c:v>166.39999999999998</c:v>
                </c:pt>
                <c:pt idx="27">
                  <c:v>166.39999999999998</c:v>
                </c:pt>
                <c:pt idx="28">
                  <c:v>160</c:v>
                </c:pt>
                <c:pt idx="29">
                  <c:v>155.2</c:v>
                </c:pt>
                <c:pt idx="30">
                  <c:v>150.39999999999998</c:v>
                </c:pt>
                <c:pt idx="31">
                  <c:v>147.2</c:v>
                </c:pt>
                <c:pt idx="32">
                  <c:v>147.2</c:v>
                </c:pt>
                <c:pt idx="33">
                  <c:v>144</c:v>
                </c:pt>
                <c:pt idx="34">
                  <c:v>134.39999999999998</c:v>
                </c:pt>
                <c:pt idx="35">
                  <c:v>137.60000000000002</c:v>
                </c:pt>
                <c:pt idx="36">
                  <c:v>126.39999999999998</c:v>
                </c:pt>
                <c:pt idx="37">
                  <c:v>126.39999999999998</c:v>
                </c:pt>
                <c:pt idx="38">
                  <c:v>123.19999999999999</c:v>
                </c:pt>
                <c:pt idx="39">
                  <c:v>120</c:v>
                </c:pt>
                <c:pt idx="40">
                  <c:v>115.19999999999999</c:v>
                </c:pt>
                <c:pt idx="41">
                  <c:v>107.19999999999999</c:v>
                </c:pt>
                <c:pt idx="42">
                  <c:v>107.19999999999999</c:v>
                </c:pt>
                <c:pt idx="43">
                  <c:v>100.80000000000001</c:v>
                </c:pt>
                <c:pt idx="44">
                  <c:v>99.19999999999999</c:v>
                </c:pt>
                <c:pt idx="45">
                  <c:v>92.80000000000001</c:v>
                </c:pt>
                <c:pt idx="46">
                  <c:v>89.60000000000002</c:v>
                </c:pt>
                <c:pt idx="47">
                  <c:v>84.79999999999995</c:v>
                </c:pt>
                <c:pt idx="48">
                  <c:v>84.79999999999995</c:v>
                </c:pt>
                <c:pt idx="49">
                  <c:v>80</c:v>
                </c:pt>
                <c:pt idx="50">
                  <c:v>75.20000000000005</c:v>
                </c:pt>
                <c:pt idx="51">
                  <c:v>67.20000000000005</c:v>
                </c:pt>
                <c:pt idx="52">
                  <c:v>67.20000000000005</c:v>
                </c:pt>
                <c:pt idx="53">
                  <c:v>59.200000000000045</c:v>
                </c:pt>
                <c:pt idx="54">
                  <c:v>54.39999999999998</c:v>
                </c:pt>
                <c:pt idx="55">
                  <c:v>56</c:v>
                </c:pt>
                <c:pt idx="56">
                  <c:v>51.200000000000045</c:v>
                </c:pt>
                <c:pt idx="57">
                  <c:v>46.39999999999998</c:v>
                </c:pt>
                <c:pt idx="58">
                  <c:v>43.200000000000045</c:v>
                </c:pt>
                <c:pt idx="59">
                  <c:v>38.39999999999998</c:v>
                </c:pt>
                <c:pt idx="60">
                  <c:v>32</c:v>
                </c:pt>
                <c:pt idx="61">
                  <c:v>28.799999999999955</c:v>
                </c:pt>
                <c:pt idx="62">
                  <c:v>25.600000000000023</c:v>
                </c:pt>
                <c:pt idx="63">
                  <c:v>24</c:v>
                </c:pt>
                <c:pt idx="64">
                  <c:v>20.799999999999955</c:v>
                </c:pt>
                <c:pt idx="65">
                  <c:v>17.600000000000023</c:v>
                </c:pt>
                <c:pt idx="66">
                  <c:v>12.799999999999955</c:v>
                </c:pt>
                <c:pt idx="67">
                  <c:v>11.200000000000045</c:v>
                </c:pt>
                <c:pt idx="68">
                  <c:v>6.399999999999977</c:v>
                </c:pt>
                <c:pt idx="69">
                  <c:v>1.6000000000000227</c:v>
                </c:pt>
                <c:pt idx="70">
                  <c:v>0</c:v>
                </c:pt>
                <c:pt idx="71">
                  <c:v>-1.6000000000000227</c:v>
                </c:pt>
                <c:pt idx="72">
                  <c:v>-6.399999999999977</c:v>
                </c:pt>
                <c:pt idx="73">
                  <c:v>-9.600000000000023</c:v>
                </c:pt>
                <c:pt idx="74">
                  <c:v>-11.200000000000045</c:v>
                </c:pt>
                <c:pt idx="75">
                  <c:v>-16</c:v>
                </c:pt>
                <c:pt idx="76">
                  <c:v>-16</c:v>
                </c:pt>
                <c:pt idx="77">
                  <c:v>-16</c:v>
                </c:pt>
                <c:pt idx="78">
                  <c:v>-19.200000000000045</c:v>
                </c:pt>
                <c:pt idx="79">
                  <c:v>-22.399999999999977</c:v>
                </c:pt>
                <c:pt idx="80">
                  <c:v>-25.600000000000023</c:v>
                </c:pt>
                <c:pt idx="81">
                  <c:v>-24</c:v>
                </c:pt>
                <c:pt idx="82">
                  <c:v>-27.200000000000045</c:v>
                </c:pt>
                <c:pt idx="83">
                  <c:v>-24</c:v>
                </c:pt>
                <c:pt idx="84">
                  <c:v>-25.600000000000023</c:v>
                </c:pt>
                <c:pt idx="85">
                  <c:v>-28.799999999999955</c:v>
                </c:pt>
                <c:pt idx="86">
                  <c:v>-28.799999999999955</c:v>
                </c:pt>
                <c:pt idx="87">
                  <c:v>-30.399999999999977</c:v>
                </c:pt>
                <c:pt idx="88">
                  <c:v>-33.60000000000002</c:v>
                </c:pt>
                <c:pt idx="89">
                  <c:v>-35.200000000000045</c:v>
                </c:pt>
                <c:pt idx="90">
                  <c:v>-33.60000000000002</c:v>
                </c:pt>
                <c:pt idx="91">
                  <c:v>-33.60000000000002</c:v>
                </c:pt>
                <c:pt idx="92">
                  <c:v>-35.200000000000045</c:v>
                </c:pt>
                <c:pt idx="93">
                  <c:v>-35.200000000000045</c:v>
                </c:pt>
                <c:pt idx="94">
                  <c:v>-35.200000000000045</c:v>
                </c:pt>
                <c:pt idx="95">
                  <c:v>-36.799999999999955</c:v>
                </c:pt>
                <c:pt idx="96">
                  <c:v>-35.200000000000045</c:v>
                </c:pt>
                <c:pt idx="97">
                  <c:v>-36.799999999999955</c:v>
                </c:pt>
                <c:pt idx="98">
                  <c:v>-38.39999999999998</c:v>
                </c:pt>
                <c:pt idx="99">
                  <c:v>-35.200000000000045</c:v>
                </c:pt>
                <c:pt idx="100">
                  <c:v>-33.60000000000002</c:v>
                </c:pt>
                <c:pt idx="101">
                  <c:v>-35.200000000000045</c:v>
                </c:pt>
                <c:pt idx="102">
                  <c:v>-33.60000000000002</c:v>
                </c:pt>
                <c:pt idx="103">
                  <c:v>-33.60000000000002</c:v>
                </c:pt>
                <c:pt idx="104">
                  <c:v>-35.200000000000045</c:v>
                </c:pt>
                <c:pt idx="105">
                  <c:v>-32</c:v>
                </c:pt>
                <c:pt idx="106">
                  <c:v>-32</c:v>
                </c:pt>
                <c:pt idx="107">
                  <c:v>-30.399999999999977</c:v>
                </c:pt>
                <c:pt idx="108">
                  <c:v>-28.799999999999955</c:v>
                </c:pt>
                <c:pt idx="109">
                  <c:v>-32</c:v>
                </c:pt>
                <c:pt idx="110">
                  <c:v>-28.799999999999955</c:v>
                </c:pt>
                <c:pt idx="111">
                  <c:v>-27.200000000000045</c:v>
                </c:pt>
                <c:pt idx="112">
                  <c:v>-24</c:v>
                </c:pt>
                <c:pt idx="113">
                  <c:v>-28.799999999999955</c:v>
                </c:pt>
                <c:pt idx="114">
                  <c:v>-27.200000000000045</c:v>
                </c:pt>
                <c:pt idx="115">
                  <c:v>-25.600000000000023</c:v>
                </c:pt>
                <c:pt idx="116">
                  <c:v>-20.799999999999955</c:v>
                </c:pt>
                <c:pt idx="117">
                  <c:v>-20.799999999999955</c:v>
                </c:pt>
                <c:pt idx="118">
                  <c:v>-22.399999999999977</c:v>
                </c:pt>
                <c:pt idx="119">
                  <c:v>-20.799999999999955</c:v>
                </c:pt>
                <c:pt idx="120">
                  <c:v>-16</c:v>
                </c:pt>
                <c:pt idx="121">
                  <c:v>-19.200000000000045</c:v>
                </c:pt>
                <c:pt idx="122">
                  <c:v>-17.600000000000023</c:v>
                </c:pt>
                <c:pt idx="123">
                  <c:v>-14.399999999999977</c:v>
                </c:pt>
                <c:pt idx="124">
                  <c:v>-16</c:v>
                </c:pt>
                <c:pt idx="125">
                  <c:v>-17.600000000000023</c:v>
                </c:pt>
                <c:pt idx="126">
                  <c:v>-14.399999999999977</c:v>
                </c:pt>
                <c:pt idx="127">
                  <c:v>-12.799999999999955</c:v>
                </c:pt>
                <c:pt idx="128">
                  <c:v>-11.200000000000045</c:v>
                </c:pt>
                <c:pt idx="129">
                  <c:v>-11.200000000000045</c:v>
                </c:pt>
                <c:pt idx="130">
                  <c:v>-8</c:v>
                </c:pt>
                <c:pt idx="131">
                  <c:v>-9.600000000000023</c:v>
                </c:pt>
                <c:pt idx="132">
                  <c:v>-8</c:v>
                </c:pt>
                <c:pt idx="133">
                  <c:v>-8</c:v>
                </c:pt>
                <c:pt idx="134">
                  <c:v>-6.399999999999977</c:v>
                </c:pt>
                <c:pt idx="135">
                  <c:v>-1.6000000000000227</c:v>
                </c:pt>
                <c:pt idx="136">
                  <c:v>-3.2000000000000455</c:v>
                </c:pt>
                <c:pt idx="137">
                  <c:v>-3.2000000000000455</c:v>
                </c:pt>
                <c:pt idx="138">
                  <c:v>0</c:v>
                </c:pt>
                <c:pt idx="139">
                  <c:v>3.2000000000000455</c:v>
                </c:pt>
                <c:pt idx="140">
                  <c:v>1.6000000000000227</c:v>
                </c:pt>
                <c:pt idx="141">
                  <c:v>1.6000000000000227</c:v>
                </c:pt>
                <c:pt idx="142">
                  <c:v>3.2000000000000455</c:v>
                </c:pt>
                <c:pt idx="143">
                  <c:v>4.7999999999999545</c:v>
                </c:pt>
                <c:pt idx="144">
                  <c:v>1.6000000000000227</c:v>
                </c:pt>
                <c:pt idx="145">
                  <c:v>6.399999999999977</c:v>
                </c:pt>
                <c:pt idx="146">
                  <c:v>6.399999999999977</c:v>
                </c:pt>
                <c:pt idx="147">
                  <c:v>6.399999999999977</c:v>
                </c:pt>
                <c:pt idx="148">
                  <c:v>6.399999999999977</c:v>
                </c:pt>
                <c:pt idx="149">
                  <c:v>8</c:v>
                </c:pt>
                <c:pt idx="150">
                  <c:v>8</c:v>
                </c:pt>
                <c:pt idx="151">
                  <c:v>11.200000000000045</c:v>
                </c:pt>
                <c:pt idx="152">
                  <c:v>11.200000000000045</c:v>
                </c:pt>
                <c:pt idx="153">
                  <c:v>8</c:v>
                </c:pt>
                <c:pt idx="154">
                  <c:v>11.200000000000045</c:v>
                </c:pt>
                <c:pt idx="155">
                  <c:v>11.200000000000045</c:v>
                </c:pt>
                <c:pt idx="156">
                  <c:v>9.600000000000023</c:v>
                </c:pt>
                <c:pt idx="157">
                  <c:v>19.200000000000045</c:v>
                </c:pt>
                <c:pt idx="158">
                  <c:v>14.399999999999977</c:v>
                </c:pt>
                <c:pt idx="159">
                  <c:v>12.799999999999955</c:v>
                </c:pt>
                <c:pt idx="160">
                  <c:v>17.600000000000023</c:v>
                </c:pt>
                <c:pt idx="161">
                  <c:v>12.799999999999955</c:v>
                </c:pt>
                <c:pt idx="162">
                  <c:v>12.799999999999955</c:v>
                </c:pt>
                <c:pt idx="163">
                  <c:v>16</c:v>
                </c:pt>
                <c:pt idx="164">
                  <c:v>14.399999999999977</c:v>
                </c:pt>
                <c:pt idx="165">
                  <c:v>22.399999999999977</c:v>
                </c:pt>
                <c:pt idx="166">
                  <c:v>16</c:v>
                </c:pt>
                <c:pt idx="167">
                  <c:v>14.399999999999977</c:v>
                </c:pt>
                <c:pt idx="168">
                  <c:v>12.799999999999955</c:v>
                </c:pt>
                <c:pt idx="169">
                  <c:v>14.399999999999977</c:v>
                </c:pt>
                <c:pt idx="170">
                  <c:v>16</c:v>
                </c:pt>
                <c:pt idx="171">
                  <c:v>12.799999999999955</c:v>
                </c:pt>
                <c:pt idx="172">
                  <c:v>12.799999999999955</c:v>
                </c:pt>
                <c:pt idx="173">
                  <c:v>14.399999999999977</c:v>
                </c:pt>
                <c:pt idx="174">
                  <c:v>14.399999999999977</c:v>
                </c:pt>
                <c:pt idx="175">
                  <c:v>16</c:v>
                </c:pt>
                <c:pt idx="176">
                  <c:v>14.399999999999977</c:v>
                </c:pt>
                <c:pt idx="177">
                  <c:v>16</c:v>
                </c:pt>
                <c:pt idx="178">
                  <c:v>17.600000000000023</c:v>
                </c:pt>
                <c:pt idx="179">
                  <c:v>16</c:v>
                </c:pt>
                <c:pt idx="180">
                  <c:v>16</c:v>
                </c:pt>
                <c:pt idx="181">
                  <c:v>14.399999999999977</c:v>
                </c:pt>
                <c:pt idx="182">
                  <c:v>12.799999999999955</c:v>
                </c:pt>
                <c:pt idx="183">
                  <c:v>14.399999999999977</c:v>
                </c:pt>
                <c:pt idx="184">
                  <c:v>16</c:v>
                </c:pt>
                <c:pt idx="185">
                  <c:v>14.399999999999977</c:v>
                </c:pt>
                <c:pt idx="186">
                  <c:v>14.399999999999977</c:v>
                </c:pt>
                <c:pt idx="187">
                  <c:v>16</c:v>
                </c:pt>
                <c:pt idx="188">
                  <c:v>14.399999999999977</c:v>
                </c:pt>
                <c:pt idx="189">
                  <c:v>12.799999999999955</c:v>
                </c:pt>
                <c:pt idx="190">
                  <c:v>12.799999999999955</c:v>
                </c:pt>
                <c:pt idx="191">
                  <c:v>12.799999999999955</c:v>
                </c:pt>
                <c:pt idx="192">
                  <c:v>12.799999999999955</c:v>
                </c:pt>
                <c:pt idx="193">
                  <c:v>12.799999999999955</c:v>
                </c:pt>
                <c:pt idx="194">
                  <c:v>11.200000000000045</c:v>
                </c:pt>
                <c:pt idx="195">
                  <c:v>11.200000000000045</c:v>
                </c:pt>
                <c:pt idx="196">
                  <c:v>11.200000000000045</c:v>
                </c:pt>
                <c:pt idx="197">
                  <c:v>11.200000000000045</c:v>
                </c:pt>
                <c:pt idx="198">
                  <c:v>11.200000000000045</c:v>
                </c:pt>
                <c:pt idx="199">
                  <c:v>12.799999999999955</c:v>
                </c:pt>
                <c:pt idx="200">
                  <c:v>12.799999999999955</c:v>
                </c:pt>
                <c:pt idx="201">
                  <c:v>11.200000000000045</c:v>
                </c:pt>
                <c:pt idx="202">
                  <c:v>11.200000000000045</c:v>
                </c:pt>
                <c:pt idx="203">
                  <c:v>9.600000000000023</c:v>
                </c:pt>
                <c:pt idx="204">
                  <c:v>8</c:v>
                </c:pt>
                <c:pt idx="205">
                  <c:v>11.200000000000045</c:v>
                </c:pt>
                <c:pt idx="206">
                  <c:v>11.200000000000045</c:v>
                </c:pt>
                <c:pt idx="207">
                  <c:v>8</c:v>
                </c:pt>
                <c:pt idx="208">
                  <c:v>8</c:v>
                </c:pt>
                <c:pt idx="209">
                  <c:v>9.600000000000023</c:v>
                </c:pt>
                <c:pt idx="210">
                  <c:v>8</c:v>
                </c:pt>
                <c:pt idx="211">
                  <c:v>8</c:v>
                </c:pt>
                <c:pt idx="212">
                  <c:v>9.600000000000023</c:v>
                </c:pt>
                <c:pt idx="213">
                  <c:v>4.7999999999999545</c:v>
                </c:pt>
                <c:pt idx="214">
                  <c:v>6.399999999999977</c:v>
                </c:pt>
                <c:pt idx="215">
                  <c:v>4.7999999999999545</c:v>
                </c:pt>
                <c:pt idx="216">
                  <c:v>6.399999999999977</c:v>
                </c:pt>
                <c:pt idx="217">
                  <c:v>8</c:v>
                </c:pt>
                <c:pt idx="218">
                  <c:v>6.399999999999977</c:v>
                </c:pt>
                <c:pt idx="219">
                  <c:v>6.399999999999977</c:v>
                </c:pt>
                <c:pt idx="220">
                  <c:v>8</c:v>
                </c:pt>
                <c:pt idx="221">
                  <c:v>6.399999999999977</c:v>
                </c:pt>
                <c:pt idx="222">
                  <c:v>4.7999999999999545</c:v>
                </c:pt>
                <c:pt idx="223">
                  <c:v>4.7999999999999545</c:v>
                </c:pt>
                <c:pt idx="224">
                  <c:v>3.2000000000000455</c:v>
                </c:pt>
                <c:pt idx="225">
                  <c:v>4.7999999999999545</c:v>
                </c:pt>
                <c:pt idx="226">
                  <c:v>4.7999999999999545</c:v>
                </c:pt>
                <c:pt idx="227">
                  <c:v>6.399999999999977</c:v>
                </c:pt>
                <c:pt idx="228">
                  <c:v>4.7999999999999545</c:v>
                </c:pt>
                <c:pt idx="229">
                  <c:v>1.6000000000000227</c:v>
                </c:pt>
                <c:pt idx="230">
                  <c:v>4.7999999999999545</c:v>
                </c:pt>
                <c:pt idx="231">
                  <c:v>3.2000000000000455</c:v>
                </c:pt>
                <c:pt idx="232">
                  <c:v>4.7999999999999545</c:v>
                </c:pt>
                <c:pt idx="233">
                  <c:v>6.399999999999977</c:v>
                </c:pt>
                <c:pt idx="234">
                  <c:v>3.2000000000000455</c:v>
                </c:pt>
                <c:pt idx="235">
                  <c:v>3.2000000000000455</c:v>
                </c:pt>
                <c:pt idx="236">
                  <c:v>3.2000000000000455</c:v>
                </c:pt>
                <c:pt idx="237">
                  <c:v>4.7999999999999545</c:v>
                </c:pt>
                <c:pt idx="238">
                  <c:v>1.6000000000000227</c:v>
                </c:pt>
                <c:pt idx="239">
                  <c:v>3.2000000000000455</c:v>
                </c:pt>
                <c:pt idx="240">
                  <c:v>8</c:v>
                </c:pt>
                <c:pt idx="241">
                  <c:v>3.2000000000000455</c:v>
                </c:pt>
                <c:pt idx="242">
                  <c:v>3.2000000000000455</c:v>
                </c:pt>
                <c:pt idx="243">
                  <c:v>1.6000000000000227</c:v>
                </c:pt>
                <c:pt idx="244">
                  <c:v>1.6000000000000227</c:v>
                </c:pt>
                <c:pt idx="245">
                  <c:v>3.2000000000000455</c:v>
                </c:pt>
                <c:pt idx="246">
                  <c:v>3.2000000000000455</c:v>
                </c:pt>
                <c:pt idx="247">
                  <c:v>4.7999999999999545</c:v>
                </c:pt>
                <c:pt idx="248">
                  <c:v>1.6000000000000227</c:v>
                </c:pt>
                <c:pt idx="249">
                  <c:v>3.2000000000000455</c:v>
                </c:pt>
                <c:pt idx="250">
                  <c:v>4.7999999999999545</c:v>
                </c:pt>
                <c:pt idx="251">
                  <c:v>4.7999999999999545</c:v>
                </c:pt>
                <c:pt idx="252">
                  <c:v>3.2000000000000455</c:v>
                </c:pt>
                <c:pt idx="253">
                  <c:v>3.2000000000000455</c:v>
                </c:pt>
                <c:pt idx="254">
                  <c:v>1.6000000000000227</c:v>
                </c:pt>
                <c:pt idx="255">
                  <c:v>3.2000000000000455</c:v>
                </c:pt>
                <c:pt idx="256">
                  <c:v>3.2000000000000455</c:v>
                </c:pt>
                <c:pt idx="257">
                  <c:v>3.2000000000000455</c:v>
                </c:pt>
                <c:pt idx="258">
                  <c:v>4.7999999999999545</c:v>
                </c:pt>
                <c:pt idx="259">
                  <c:v>3.2000000000000455</c:v>
                </c:pt>
                <c:pt idx="260">
                  <c:v>6.399999999999977</c:v>
                </c:pt>
                <c:pt idx="261">
                  <c:v>6.399999999999977</c:v>
                </c:pt>
                <c:pt idx="262">
                  <c:v>3.2000000000000455</c:v>
                </c:pt>
                <c:pt idx="263">
                  <c:v>3.2000000000000455</c:v>
                </c:pt>
                <c:pt idx="264">
                  <c:v>4.7999999999999545</c:v>
                </c:pt>
                <c:pt idx="265">
                  <c:v>3.2000000000000455</c:v>
                </c:pt>
                <c:pt idx="266">
                  <c:v>4.7999999999999545</c:v>
                </c:pt>
                <c:pt idx="267">
                  <c:v>0</c:v>
                </c:pt>
                <c:pt idx="268">
                  <c:v>4.7999999999999545</c:v>
                </c:pt>
                <c:pt idx="269">
                  <c:v>0</c:v>
                </c:pt>
                <c:pt idx="270">
                  <c:v>4.7999999999999545</c:v>
                </c:pt>
                <c:pt idx="271">
                  <c:v>1.6000000000000227</c:v>
                </c:pt>
                <c:pt idx="272">
                  <c:v>3.2000000000000455</c:v>
                </c:pt>
                <c:pt idx="273">
                  <c:v>1.6000000000000227</c:v>
                </c:pt>
                <c:pt idx="274">
                  <c:v>4.7999999999999545</c:v>
                </c:pt>
                <c:pt idx="275">
                  <c:v>4.7999999999999545</c:v>
                </c:pt>
                <c:pt idx="276">
                  <c:v>6.399999999999977</c:v>
                </c:pt>
                <c:pt idx="277">
                  <c:v>3.2000000000000455</c:v>
                </c:pt>
                <c:pt idx="278">
                  <c:v>4.7999999999999545</c:v>
                </c:pt>
                <c:pt idx="279">
                  <c:v>3.2000000000000455</c:v>
                </c:pt>
                <c:pt idx="280">
                  <c:v>4.7999999999999545</c:v>
                </c:pt>
                <c:pt idx="281">
                  <c:v>3.2000000000000455</c:v>
                </c:pt>
                <c:pt idx="282">
                  <c:v>6.399999999999977</c:v>
                </c:pt>
                <c:pt idx="283">
                  <c:v>4.7999999999999545</c:v>
                </c:pt>
                <c:pt idx="284">
                  <c:v>3.2000000000000455</c:v>
                </c:pt>
                <c:pt idx="285">
                  <c:v>3.2000000000000455</c:v>
                </c:pt>
                <c:pt idx="286">
                  <c:v>1.6000000000000227</c:v>
                </c:pt>
                <c:pt idx="287">
                  <c:v>4.7999999999999545</c:v>
                </c:pt>
                <c:pt idx="288">
                  <c:v>3.2000000000000455</c:v>
                </c:pt>
                <c:pt idx="289">
                  <c:v>1.6000000000000227</c:v>
                </c:pt>
                <c:pt idx="290">
                  <c:v>4.7999999999999545</c:v>
                </c:pt>
                <c:pt idx="291">
                  <c:v>3.2000000000000455</c:v>
                </c:pt>
                <c:pt idx="292">
                  <c:v>4.7999999999999545</c:v>
                </c:pt>
                <c:pt idx="293">
                  <c:v>4.7999999999999545</c:v>
                </c:pt>
                <c:pt idx="294">
                  <c:v>3.2000000000000455</c:v>
                </c:pt>
                <c:pt idx="295">
                  <c:v>-3.2000000000000455</c:v>
                </c:pt>
                <c:pt idx="296">
                  <c:v>4.7999999999999545</c:v>
                </c:pt>
                <c:pt idx="297">
                  <c:v>4.7999999999999545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Sheet1!$M$1</c:f>
              <c:strCache>
                <c:ptCount val="1"/>
                <c:pt idx="0">
                  <c:v>Fake Kp (14)</c:v>
                </c:pt>
              </c:strCache>
            </c:strRef>
          </c:tx>
          <c:spPr bwMode="auto">
            <a:prstGeom prst="rect">
              <a:avLst/>
            </a:prstGeom>
            <a:noFill/>
            <a:ln w="12700" cap="rnd" cmpd="sng" algn="ctr">
              <a:solidFill>
                <a:srgbClr val="EE36FF"/>
              </a:solidFill>
              <a:prstDash val="solid"/>
              <a:miter lim="800000"/>
            </a:ln>
          </c:spPr>
          <c:marker>
            <c:symbol val="none"/>
          </c:marker>
          <c:cat>
            <c:numRef>
              <c:f>Sheet1!$F$2:$F$299</c:f>
            </c:numRef>
          </c:cat>
          <c:val>
            <c:numRef>
              <c:f>Sheet1!$M$2:$M$299</c:f>
              <c:numCache>
                <c:formatCode>General</c:formatCode>
                <c:ptCount val="298"/>
                <c:pt idx="0">
                  <c:v>184.79999999999998</c:v>
                </c:pt>
                <c:pt idx="1">
                  <c:v>180.59999999999997</c:v>
                </c:pt>
                <c:pt idx="2">
                  <c:v>184.79999999999998</c:v>
                </c:pt>
                <c:pt idx="3">
                  <c:v>186.20000000000002</c:v>
                </c:pt>
                <c:pt idx="4">
                  <c:v>183.40000000000003</c:v>
                </c:pt>
                <c:pt idx="5">
                  <c:v>183.40000000000003</c:v>
                </c:pt>
                <c:pt idx="6">
                  <c:v>179.20000000000002</c:v>
                </c:pt>
                <c:pt idx="7">
                  <c:v>183.40000000000003</c:v>
                </c:pt>
                <c:pt idx="8">
                  <c:v>182</c:v>
                </c:pt>
                <c:pt idx="9">
                  <c:v>180.59999999999997</c:v>
                </c:pt>
                <c:pt idx="10">
                  <c:v>180.59999999999997</c:v>
                </c:pt>
                <c:pt idx="11">
                  <c:v>175</c:v>
                </c:pt>
                <c:pt idx="12">
                  <c:v>177.79999999999998</c:v>
                </c:pt>
                <c:pt idx="13">
                  <c:v>176.40000000000003</c:v>
                </c:pt>
                <c:pt idx="14">
                  <c:v>175</c:v>
                </c:pt>
                <c:pt idx="15">
                  <c:v>173.59999999999997</c:v>
                </c:pt>
                <c:pt idx="16">
                  <c:v>172.20000000000002</c:v>
                </c:pt>
                <c:pt idx="17">
                  <c:v>165.20000000000002</c:v>
                </c:pt>
                <c:pt idx="18">
                  <c:v>168</c:v>
                </c:pt>
                <c:pt idx="19">
                  <c:v>165.20000000000002</c:v>
                </c:pt>
                <c:pt idx="20">
                  <c:v>163.79999999999998</c:v>
                </c:pt>
                <c:pt idx="21">
                  <c:v>159.59999999999997</c:v>
                </c:pt>
                <c:pt idx="22">
                  <c:v>155.40000000000003</c:v>
                </c:pt>
                <c:pt idx="23">
                  <c:v>154</c:v>
                </c:pt>
                <c:pt idx="24">
                  <c:v>152.59999999999997</c:v>
                </c:pt>
                <c:pt idx="25">
                  <c:v>148.40000000000003</c:v>
                </c:pt>
                <c:pt idx="26">
                  <c:v>145.59999999999997</c:v>
                </c:pt>
                <c:pt idx="27">
                  <c:v>145.59999999999997</c:v>
                </c:pt>
                <c:pt idx="28">
                  <c:v>140</c:v>
                </c:pt>
                <c:pt idx="29">
                  <c:v>135.79999999999998</c:v>
                </c:pt>
                <c:pt idx="30">
                  <c:v>131.59999999999997</c:v>
                </c:pt>
                <c:pt idx="31">
                  <c:v>128.79999999999998</c:v>
                </c:pt>
                <c:pt idx="32">
                  <c:v>128.79999999999998</c:v>
                </c:pt>
                <c:pt idx="33">
                  <c:v>126</c:v>
                </c:pt>
                <c:pt idx="34">
                  <c:v>117.59999999999998</c:v>
                </c:pt>
                <c:pt idx="35">
                  <c:v>120.40000000000002</c:v>
                </c:pt>
                <c:pt idx="36">
                  <c:v>110.59999999999998</c:v>
                </c:pt>
                <c:pt idx="37">
                  <c:v>110.59999999999998</c:v>
                </c:pt>
                <c:pt idx="38">
                  <c:v>107.79999999999998</c:v>
                </c:pt>
                <c:pt idx="39">
                  <c:v>105</c:v>
                </c:pt>
                <c:pt idx="40">
                  <c:v>100.79999999999998</c:v>
                </c:pt>
                <c:pt idx="41">
                  <c:v>93.79999999999998</c:v>
                </c:pt>
                <c:pt idx="42">
                  <c:v>93.79999999999998</c:v>
                </c:pt>
                <c:pt idx="43">
                  <c:v>88.20000000000002</c:v>
                </c:pt>
                <c:pt idx="44">
                  <c:v>86.79999999999998</c:v>
                </c:pt>
                <c:pt idx="45">
                  <c:v>81.20000000000002</c:v>
                </c:pt>
                <c:pt idx="46">
                  <c:v>78.40000000000002</c:v>
                </c:pt>
                <c:pt idx="47">
                  <c:v>74.19999999999996</c:v>
                </c:pt>
                <c:pt idx="48">
                  <c:v>74.19999999999996</c:v>
                </c:pt>
                <c:pt idx="49">
                  <c:v>70</c:v>
                </c:pt>
                <c:pt idx="50">
                  <c:v>65.80000000000004</c:v>
                </c:pt>
                <c:pt idx="51">
                  <c:v>58.80000000000004</c:v>
                </c:pt>
                <c:pt idx="52">
                  <c:v>58.80000000000004</c:v>
                </c:pt>
                <c:pt idx="53">
                  <c:v>51.80000000000004</c:v>
                </c:pt>
                <c:pt idx="54">
                  <c:v>47.59999999999998</c:v>
                </c:pt>
                <c:pt idx="55">
                  <c:v>49</c:v>
                </c:pt>
                <c:pt idx="56">
                  <c:v>44.80000000000004</c:v>
                </c:pt>
                <c:pt idx="57">
                  <c:v>40.59999999999998</c:v>
                </c:pt>
                <c:pt idx="58">
                  <c:v>37.80000000000004</c:v>
                </c:pt>
                <c:pt idx="59">
                  <c:v>33.59999999999998</c:v>
                </c:pt>
                <c:pt idx="60">
                  <c:v>28</c:v>
                </c:pt>
                <c:pt idx="61">
                  <c:v>25.19999999999996</c:v>
                </c:pt>
                <c:pt idx="62">
                  <c:v>22.40000000000002</c:v>
                </c:pt>
                <c:pt idx="63">
                  <c:v>21</c:v>
                </c:pt>
                <c:pt idx="64">
                  <c:v>18.19999999999996</c:v>
                </c:pt>
                <c:pt idx="65">
                  <c:v>15.40000000000002</c:v>
                </c:pt>
                <c:pt idx="66">
                  <c:v>11.19999999999996</c:v>
                </c:pt>
                <c:pt idx="67">
                  <c:v>9.80000000000004</c:v>
                </c:pt>
                <c:pt idx="68">
                  <c:v>5.59999999999998</c:v>
                </c:pt>
                <c:pt idx="69">
                  <c:v>1.40000000000002</c:v>
                </c:pt>
                <c:pt idx="70">
                  <c:v>0</c:v>
                </c:pt>
                <c:pt idx="71">
                  <c:v>-1.40000000000002</c:v>
                </c:pt>
                <c:pt idx="72">
                  <c:v>-5.59999999999998</c:v>
                </c:pt>
                <c:pt idx="73">
                  <c:v>-8.40000000000002</c:v>
                </c:pt>
                <c:pt idx="74">
                  <c:v>-9.80000000000004</c:v>
                </c:pt>
                <c:pt idx="75">
                  <c:v>-14</c:v>
                </c:pt>
                <c:pt idx="76">
                  <c:v>-14</c:v>
                </c:pt>
                <c:pt idx="77">
                  <c:v>-14</c:v>
                </c:pt>
                <c:pt idx="78">
                  <c:v>-16.80000000000004</c:v>
                </c:pt>
                <c:pt idx="79">
                  <c:v>-19.59999999999998</c:v>
                </c:pt>
                <c:pt idx="80">
                  <c:v>-22.40000000000002</c:v>
                </c:pt>
                <c:pt idx="81">
                  <c:v>-21</c:v>
                </c:pt>
                <c:pt idx="82">
                  <c:v>-23.80000000000004</c:v>
                </c:pt>
                <c:pt idx="83">
                  <c:v>-21</c:v>
                </c:pt>
                <c:pt idx="84">
                  <c:v>-22.40000000000002</c:v>
                </c:pt>
                <c:pt idx="85">
                  <c:v>-25.19999999999996</c:v>
                </c:pt>
                <c:pt idx="86">
                  <c:v>-25.19999999999996</c:v>
                </c:pt>
                <c:pt idx="87">
                  <c:v>-26.59999999999998</c:v>
                </c:pt>
                <c:pt idx="88">
                  <c:v>-29.40000000000002</c:v>
                </c:pt>
                <c:pt idx="89">
                  <c:v>-30.80000000000004</c:v>
                </c:pt>
                <c:pt idx="90">
                  <c:v>-29.40000000000002</c:v>
                </c:pt>
                <c:pt idx="91">
                  <c:v>-29.40000000000002</c:v>
                </c:pt>
                <c:pt idx="92">
                  <c:v>-30.80000000000004</c:v>
                </c:pt>
                <c:pt idx="93">
                  <c:v>-30.80000000000004</c:v>
                </c:pt>
                <c:pt idx="94">
                  <c:v>-30.80000000000004</c:v>
                </c:pt>
                <c:pt idx="95">
                  <c:v>-32.19999999999996</c:v>
                </c:pt>
                <c:pt idx="96">
                  <c:v>-30.80000000000004</c:v>
                </c:pt>
                <c:pt idx="97">
                  <c:v>-32.19999999999996</c:v>
                </c:pt>
                <c:pt idx="98">
                  <c:v>-33.59999999999998</c:v>
                </c:pt>
                <c:pt idx="99">
                  <c:v>-30.80000000000004</c:v>
                </c:pt>
                <c:pt idx="100">
                  <c:v>-29.40000000000002</c:v>
                </c:pt>
                <c:pt idx="101">
                  <c:v>-30.80000000000004</c:v>
                </c:pt>
                <c:pt idx="102">
                  <c:v>-29.40000000000002</c:v>
                </c:pt>
                <c:pt idx="103">
                  <c:v>-29.40000000000002</c:v>
                </c:pt>
                <c:pt idx="104">
                  <c:v>-30.80000000000004</c:v>
                </c:pt>
                <c:pt idx="105">
                  <c:v>-28</c:v>
                </c:pt>
                <c:pt idx="106">
                  <c:v>-28</c:v>
                </c:pt>
                <c:pt idx="107">
                  <c:v>-26.59999999999998</c:v>
                </c:pt>
                <c:pt idx="108">
                  <c:v>-25.19999999999996</c:v>
                </c:pt>
                <c:pt idx="109">
                  <c:v>-28</c:v>
                </c:pt>
                <c:pt idx="110">
                  <c:v>-25.19999999999996</c:v>
                </c:pt>
                <c:pt idx="111">
                  <c:v>-23.80000000000004</c:v>
                </c:pt>
                <c:pt idx="112">
                  <c:v>-21</c:v>
                </c:pt>
                <c:pt idx="113">
                  <c:v>-25.19999999999996</c:v>
                </c:pt>
                <c:pt idx="114">
                  <c:v>-23.80000000000004</c:v>
                </c:pt>
                <c:pt idx="115">
                  <c:v>-22.40000000000002</c:v>
                </c:pt>
                <c:pt idx="116">
                  <c:v>-18.19999999999996</c:v>
                </c:pt>
                <c:pt idx="117">
                  <c:v>-18.19999999999996</c:v>
                </c:pt>
                <c:pt idx="118">
                  <c:v>-19.59999999999998</c:v>
                </c:pt>
                <c:pt idx="119">
                  <c:v>-18.19999999999996</c:v>
                </c:pt>
                <c:pt idx="120">
                  <c:v>-14</c:v>
                </c:pt>
                <c:pt idx="121">
                  <c:v>-16.80000000000004</c:v>
                </c:pt>
                <c:pt idx="122">
                  <c:v>-15.40000000000002</c:v>
                </c:pt>
                <c:pt idx="123">
                  <c:v>-12.59999999999998</c:v>
                </c:pt>
                <c:pt idx="124">
                  <c:v>-14</c:v>
                </c:pt>
                <c:pt idx="125">
                  <c:v>-15.40000000000002</c:v>
                </c:pt>
                <c:pt idx="126">
                  <c:v>-12.59999999999998</c:v>
                </c:pt>
                <c:pt idx="127">
                  <c:v>-11.19999999999996</c:v>
                </c:pt>
                <c:pt idx="128">
                  <c:v>-9.80000000000004</c:v>
                </c:pt>
                <c:pt idx="129">
                  <c:v>-9.80000000000004</c:v>
                </c:pt>
                <c:pt idx="130">
                  <c:v>-7</c:v>
                </c:pt>
                <c:pt idx="131">
                  <c:v>-8.40000000000002</c:v>
                </c:pt>
                <c:pt idx="132">
                  <c:v>-7</c:v>
                </c:pt>
                <c:pt idx="133">
                  <c:v>-7</c:v>
                </c:pt>
                <c:pt idx="134">
                  <c:v>-5.59999999999998</c:v>
                </c:pt>
                <c:pt idx="135">
                  <c:v>-1.40000000000002</c:v>
                </c:pt>
                <c:pt idx="136">
                  <c:v>-2.80000000000004</c:v>
                </c:pt>
                <c:pt idx="137">
                  <c:v>-2.80000000000004</c:v>
                </c:pt>
                <c:pt idx="138">
                  <c:v>0</c:v>
                </c:pt>
                <c:pt idx="139">
                  <c:v>2.80000000000004</c:v>
                </c:pt>
                <c:pt idx="140">
                  <c:v>1.40000000000002</c:v>
                </c:pt>
                <c:pt idx="141">
                  <c:v>1.40000000000002</c:v>
                </c:pt>
                <c:pt idx="142">
                  <c:v>2.80000000000004</c:v>
                </c:pt>
                <c:pt idx="143">
                  <c:v>4.19999999999996</c:v>
                </c:pt>
                <c:pt idx="144">
                  <c:v>1.40000000000002</c:v>
                </c:pt>
                <c:pt idx="145">
                  <c:v>5.59999999999998</c:v>
                </c:pt>
                <c:pt idx="146">
                  <c:v>5.59999999999998</c:v>
                </c:pt>
                <c:pt idx="147">
                  <c:v>5.59999999999998</c:v>
                </c:pt>
                <c:pt idx="148">
                  <c:v>5.59999999999998</c:v>
                </c:pt>
                <c:pt idx="149">
                  <c:v>7</c:v>
                </c:pt>
                <c:pt idx="150">
                  <c:v>7</c:v>
                </c:pt>
                <c:pt idx="151">
                  <c:v>9.80000000000004</c:v>
                </c:pt>
                <c:pt idx="152">
                  <c:v>9.80000000000004</c:v>
                </c:pt>
                <c:pt idx="153">
                  <c:v>7</c:v>
                </c:pt>
                <c:pt idx="154">
                  <c:v>9.80000000000004</c:v>
                </c:pt>
                <c:pt idx="155">
                  <c:v>9.80000000000004</c:v>
                </c:pt>
                <c:pt idx="156">
                  <c:v>8.40000000000002</c:v>
                </c:pt>
                <c:pt idx="157">
                  <c:v>16.80000000000004</c:v>
                </c:pt>
                <c:pt idx="158">
                  <c:v>12.59999999999998</c:v>
                </c:pt>
                <c:pt idx="159">
                  <c:v>11.19999999999996</c:v>
                </c:pt>
                <c:pt idx="160">
                  <c:v>15.40000000000002</c:v>
                </c:pt>
                <c:pt idx="161">
                  <c:v>11.19999999999996</c:v>
                </c:pt>
                <c:pt idx="162">
                  <c:v>11.19999999999996</c:v>
                </c:pt>
                <c:pt idx="163">
                  <c:v>14</c:v>
                </c:pt>
                <c:pt idx="164">
                  <c:v>12.59999999999998</c:v>
                </c:pt>
                <c:pt idx="165">
                  <c:v>19.59999999999998</c:v>
                </c:pt>
                <c:pt idx="166">
                  <c:v>14</c:v>
                </c:pt>
                <c:pt idx="167">
                  <c:v>12.59999999999998</c:v>
                </c:pt>
                <c:pt idx="168">
                  <c:v>11.19999999999996</c:v>
                </c:pt>
                <c:pt idx="169">
                  <c:v>12.59999999999998</c:v>
                </c:pt>
                <c:pt idx="170">
                  <c:v>14</c:v>
                </c:pt>
                <c:pt idx="171">
                  <c:v>11.19999999999996</c:v>
                </c:pt>
                <c:pt idx="172">
                  <c:v>11.19999999999996</c:v>
                </c:pt>
                <c:pt idx="173">
                  <c:v>12.59999999999998</c:v>
                </c:pt>
                <c:pt idx="174">
                  <c:v>12.59999999999998</c:v>
                </c:pt>
                <c:pt idx="175">
                  <c:v>14</c:v>
                </c:pt>
                <c:pt idx="176">
                  <c:v>12.59999999999998</c:v>
                </c:pt>
                <c:pt idx="177">
                  <c:v>14</c:v>
                </c:pt>
                <c:pt idx="178">
                  <c:v>15.40000000000002</c:v>
                </c:pt>
                <c:pt idx="179">
                  <c:v>14</c:v>
                </c:pt>
                <c:pt idx="180">
                  <c:v>14</c:v>
                </c:pt>
                <c:pt idx="181">
                  <c:v>12.59999999999998</c:v>
                </c:pt>
                <c:pt idx="182">
                  <c:v>11.19999999999996</c:v>
                </c:pt>
                <c:pt idx="183">
                  <c:v>12.59999999999998</c:v>
                </c:pt>
                <c:pt idx="184">
                  <c:v>14</c:v>
                </c:pt>
                <c:pt idx="185">
                  <c:v>12.59999999999998</c:v>
                </c:pt>
                <c:pt idx="186">
                  <c:v>12.59999999999998</c:v>
                </c:pt>
                <c:pt idx="187">
                  <c:v>14</c:v>
                </c:pt>
                <c:pt idx="188">
                  <c:v>12.59999999999998</c:v>
                </c:pt>
                <c:pt idx="189">
                  <c:v>11.19999999999996</c:v>
                </c:pt>
                <c:pt idx="190">
                  <c:v>11.19999999999996</c:v>
                </c:pt>
                <c:pt idx="191">
                  <c:v>11.19999999999996</c:v>
                </c:pt>
                <c:pt idx="192">
                  <c:v>11.19999999999996</c:v>
                </c:pt>
                <c:pt idx="193">
                  <c:v>11.19999999999996</c:v>
                </c:pt>
                <c:pt idx="194">
                  <c:v>9.80000000000004</c:v>
                </c:pt>
                <c:pt idx="195">
                  <c:v>9.80000000000004</c:v>
                </c:pt>
                <c:pt idx="196">
                  <c:v>9.80000000000004</c:v>
                </c:pt>
                <c:pt idx="197">
                  <c:v>9.80000000000004</c:v>
                </c:pt>
                <c:pt idx="198">
                  <c:v>9.80000000000004</c:v>
                </c:pt>
                <c:pt idx="199">
                  <c:v>11.19999999999996</c:v>
                </c:pt>
                <c:pt idx="200">
                  <c:v>11.19999999999996</c:v>
                </c:pt>
                <c:pt idx="201">
                  <c:v>9.80000000000004</c:v>
                </c:pt>
                <c:pt idx="202">
                  <c:v>9.80000000000004</c:v>
                </c:pt>
                <c:pt idx="203">
                  <c:v>8.40000000000002</c:v>
                </c:pt>
                <c:pt idx="204">
                  <c:v>7</c:v>
                </c:pt>
                <c:pt idx="205">
                  <c:v>9.80000000000004</c:v>
                </c:pt>
                <c:pt idx="206">
                  <c:v>9.80000000000004</c:v>
                </c:pt>
                <c:pt idx="207">
                  <c:v>7</c:v>
                </c:pt>
                <c:pt idx="208">
                  <c:v>7</c:v>
                </c:pt>
                <c:pt idx="209">
                  <c:v>8.40000000000002</c:v>
                </c:pt>
                <c:pt idx="210">
                  <c:v>7</c:v>
                </c:pt>
                <c:pt idx="211">
                  <c:v>7</c:v>
                </c:pt>
                <c:pt idx="212">
                  <c:v>8.40000000000002</c:v>
                </c:pt>
                <c:pt idx="213">
                  <c:v>4.19999999999996</c:v>
                </c:pt>
                <c:pt idx="214">
                  <c:v>5.59999999999998</c:v>
                </c:pt>
                <c:pt idx="215">
                  <c:v>4.19999999999996</c:v>
                </c:pt>
                <c:pt idx="216">
                  <c:v>5.59999999999998</c:v>
                </c:pt>
                <c:pt idx="217">
                  <c:v>7</c:v>
                </c:pt>
                <c:pt idx="218">
                  <c:v>5.59999999999998</c:v>
                </c:pt>
                <c:pt idx="219">
                  <c:v>5.59999999999998</c:v>
                </c:pt>
                <c:pt idx="220">
                  <c:v>7</c:v>
                </c:pt>
                <c:pt idx="221">
                  <c:v>5.59999999999998</c:v>
                </c:pt>
                <c:pt idx="222">
                  <c:v>4.19999999999996</c:v>
                </c:pt>
                <c:pt idx="223">
                  <c:v>4.19999999999996</c:v>
                </c:pt>
                <c:pt idx="224">
                  <c:v>2.80000000000004</c:v>
                </c:pt>
                <c:pt idx="225">
                  <c:v>4.19999999999996</c:v>
                </c:pt>
                <c:pt idx="226">
                  <c:v>4.19999999999996</c:v>
                </c:pt>
                <c:pt idx="227">
                  <c:v>5.59999999999998</c:v>
                </c:pt>
                <c:pt idx="228">
                  <c:v>4.19999999999996</c:v>
                </c:pt>
                <c:pt idx="229">
                  <c:v>1.40000000000002</c:v>
                </c:pt>
                <c:pt idx="230">
                  <c:v>4.19999999999996</c:v>
                </c:pt>
                <c:pt idx="231">
                  <c:v>2.80000000000004</c:v>
                </c:pt>
                <c:pt idx="232">
                  <c:v>4.19999999999996</c:v>
                </c:pt>
                <c:pt idx="233">
                  <c:v>5.59999999999998</c:v>
                </c:pt>
                <c:pt idx="234">
                  <c:v>2.80000000000004</c:v>
                </c:pt>
                <c:pt idx="235">
                  <c:v>2.80000000000004</c:v>
                </c:pt>
                <c:pt idx="236">
                  <c:v>2.80000000000004</c:v>
                </c:pt>
                <c:pt idx="237">
                  <c:v>4.19999999999996</c:v>
                </c:pt>
                <c:pt idx="238">
                  <c:v>1.40000000000002</c:v>
                </c:pt>
                <c:pt idx="239">
                  <c:v>2.80000000000004</c:v>
                </c:pt>
                <c:pt idx="240">
                  <c:v>7</c:v>
                </c:pt>
                <c:pt idx="241">
                  <c:v>2.80000000000004</c:v>
                </c:pt>
                <c:pt idx="242">
                  <c:v>2.80000000000004</c:v>
                </c:pt>
                <c:pt idx="243">
                  <c:v>1.40000000000002</c:v>
                </c:pt>
                <c:pt idx="244">
                  <c:v>1.40000000000002</c:v>
                </c:pt>
                <c:pt idx="245">
                  <c:v>2.80000000000004</c:v>
                </c:pt>
                <c:pt idx="246">
                  <c:v>2.80000000000004</c:v>
                </c:pt>
                <c:pt idx="247">
                  <c:v>4.19999999999996</c:v>
                </c:pt>
                <c:pt idx="248">
                  <c:v>1.40000000000002</c:v>
                </c:pt>
                <c:pt idx="249">
                  <c:v>2.80000000000004</c:v>
                </c:pt>
                <c:pt idx="250">
                  <c:v>4.19999999999996</c:v>
                </c:pt>
                <c:pt idx="251">
                  <c:v>4.19999999999996</c:v>
                </c:pt>
                <c:pt idx="252">
                  <c:v>2.80000000000004</c:v>
                </c:pt>
                <c:pt idx="253">
                  <c:v>2.80000000000004</c:v>
                </c:pt>
                <c:pt idx="254">
                  <c:v>1.40000000000002</c:v>
                </c:pt>
                <c:pt idx="255">
                  <c:v>2.80000000000004</c:v>
                </c:pt>
                <c:pt idx="256">
                  <c:v>2.80000000000004</c:v>
                </c:pt>
                <c:pt idx="257">
                  <c:v>2.80000000000004</c:v>
                </c:pt>
                <c:pt idx="258">
                  <c:v>4.19999999999996</c:v>
                </c:pt>
                <c:pt idx="259">
                  <c:v>2.80000000000004</c:v>
                </c:pt>
                <c:pt idx="260">
                  <c:v>5.59999999999998</c:v>
                </c:pt>
                <c:pt idx="261">
                  <c:v>5.59999999999998</c:v>
                </c:pt>
                <c:pt idx="262">
                  <c:v>2.80000000000004</c:v>
                </c:pt>
                <c:pt idx="263">
                  <c:v>2.80000000000004</c:v>
                </c:pt>
                <c:pt idx="264">
                  <c:v>4.19999999999996</c:v>
                </c:pt>
                <c:pt idx="265">
                  <c:v>2.80000000000004</c:v>
                </c:pt>
                <c:pt idx="266">
                  <c:v>4.19999999999996</c:v>
                </c:pt>
                <c:pt idx="267">
                  <c:v>0</c:v>
                </c:pt>
                <c:pt idx="268">
                  <c:v>4.19999999999996</c:v>
                </c:pt>
                <c:pt idx="269">
                  <c:v>0</c:v>
                </c:pt>
                <c:pt idx="270">
                  <c:v>4.19999999999996</c:v>
                </c:pt>
                <c:pt idx="271">
                  <c:v>1.40000000000002</c:v>
                </c:pt>
                <c:pt idx="272">
                  <c:v>2.80000000000004</c:v>
                </c:pt>
                <c:pt idx="273">
                  <c:v>1.40000000000002</c:v>
                </c:pt>
                <c:pt idx="274">
                  <c:v>4.19999999999996</c:v>
                </c:pt>
                <c:pt idx="275">
                  <c:v>4.19999999999996</c:v>
                </c:pt>
                <c:pt idx="276">
                  <c:v>5.59999999999998</c:v>
                </c:pt>
                <c:pt idx="277">
                  <c:v>2.80000000000004</c:v>
                </c:pt>
                <c:pt idx="278">
                  <c:v>4.19999999999996</c:v>
                </c:pt>
                <c:pt idx="279">
                  <c:v>2.80000000000004</c:v>
                </c:pt>
                <c:pt idx="280">
                  <c:v>4.19999999999996</c:v>
                </c:pt>
                <c:pt idx="281">
                  <c:v>2.80000000000004</c:v>
                </c:pt>
                <c:pt idx="282">
                  <c:v>5.59999999999998</c:v>
                </c:pt>
                <c:pt idx="283">
                  <c:v>4.19999999999996</c:v>
                </c:pt>
                <c:pt idx="284">
                  <c:v>2.80000000000004</c:v>
                </c:pt>
                <c:pt idx="285">
                  <c:v>2.80000000000004</c:v>
                </c:pt>
                <c:pt idx="286">
                  <c:v>1.40000000000002</c:v>
                </c:pt>
                <c:pt idx="287">
                  <c:v>4.19999999999996</c:v>
                </c:pt>
                <c:pt idx="288">
                  <c:v>2.80000000000004</c:v>
                </c:pt>
                <c:pt idx="289">
                  <c:v>1.40000000000002</c:v>
                </c:pt>
                <c:pt idx="290">
                  <c:v>4.19999999999996</c:v>
                </c:pt>
                <c:pt idx="291">
                  <c:v>2.80000000000004</c:v>
                </c:pt>
                <c:pt idx="292">
                  <c:v>4.19999999999996</c:v>
                </c:pt>
                <c:pt idx="293">
                  <c:v>4.19999999999996</c:v>
                </c:pt>
                <c:pt idx="294">
                  <c:v>2.80000000000004</c:v>
                </c:pt>
                <c:pt idx="295">
                  <c:v>-2.80000000000004</c:v>
                </c:pt>
                <c:pt idx="296">
                  <c:v>4.19999999999996</c:v>
                </c:pt>
                <c:pt idx="297">
                  <c:v>4.19999999999996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Sheet1!$N$1</c:f>
              <c:strCache>
                <c:ptCount val="1"/>
                <c:pt idx="0">
                  <c:v>Fake Kp (12)</c:v>
                </c:pt>
              </c:strCache>
            </c:strRef>
          </c:tx>
          <c:spPr bwMode="auto">
            <a:prstGeom prst="rect">
              <a:avLst/>
            </a:prstGeom>
            <a:noFill/>
            <a:ln w="12700" cap="rnd" cmpd="sng" algn="ctr">
              <a:solidFill>
                <a:srgbClr val="C413D4"/>
              </a:solidFill>
              <a:prstDash val="solid"/>
              <a:miter lim="800000"/>
            </a:ln>
          </c:spPr>
          <c:marker>
            <c:symbol val="none"/>
          </c:marker>
          <c:cat>
            <c:numRef>
              <c:f>Sheet1!$F$2:$F$299</c:f>
            </c:numRef>
          </c:cat>
          <c:val>
            <c:numRef>
              <c:f>Sheet1!$N$2:$N$299</c:f>
              <c:numCache>
                <c:formatCode>General</c:formatCode>
                <c:ptCount val="298"/>
                <c:pt idx="0">
                  <c:v>158.39999999999998</c:v>
                </c:pt>
                <c:pt idx="1">
                  <c:v>154.79999999999998</c:v>
                </c:pt>
                <c:pt idx="2">
                  <c:v>158.39999999999998</c:v>
                </c:pt>
                <c:pt idx="3">
                  <c:v>159.60000000000002</c:v>
                </c:pt>
                <c:pt idx="4">
                  <c:v>157.20000000000002</c:v>
                </c:pt>
                <c:pt idx="5">
                  <c:v>157.20000000000002</c:v>
                </c:pt>
                <c:pt idx="6">
                  <c:v>153.60000000000002</c:v>
                </c:pt>
                <c:pt idx="7">
                  <c:v>157.20000000000002</c:v>
                </c:pt>
                <c:pt idx="8">
                  <c:v>156</c:v>
                </c:pt>
                <c:pt idx="9">
                  <c:v>154.79999999999998</c:v>
                </c:pt>
                <c:pt idx="10">
                  <c:v>154.79999999999998</c:v>
                </c:pt>
                <c:pt idx="11">
                  <c:v>150</c:v>
                </c:pt>
                <c:pt idx="12">
                  <c:v>152.39999999999998</c:v>
                </c:pt>
                <c:pt idx="13">
                  <c:v>151.20000000000002</c:v>
                </c:pt>
                <c:pt idx="14">
                  <c:v>150</c:v>
                </c:pt>
                <c:pt idx="15">
                  <c:v>148.79999999999998</c:v>
                </c:pt>
                <c:pt idx="16">
                  <c:v>147.60000000000002</c:v>
                </c:pt>
                <c:pt idx="17">
                  <c:v>141.60000000000002</c:v>
                </c:pt>
                <c:pt idx="18">
                  <c:v>144</c:v>
                </c:pt>
                <c:pt idx="19">
                  <c:v>141.60000000000002</c:v>
                </c:pt>
                <c:pt idx="20">
                  <c:v>140.39999999999998</c:v>
                </c:pt>
                <c:pt idx="21">
                  <c:v>136.79999999999998</c:v>
                </c:pt>
                <c:pt idx="22">
                  <c:v>133.20000000000002</c:v>
                </c:pt>
                <c:pt idx="23">
                  <c:v>132</c:v>
                </c:pt>
                <c:pt idx="24">
                  <c:v>130.79999999999998</c:v>
                </c:pt>
                <c:pt idx="25">
                  <c:v>127.20000000000002</c:v>
                </c:pt>
                <c:pt idx="26">
                  <c:v>124.79999999999998</c:v>
                </c:pt>
                <c:pt idx="27">
                  <c:v>124.79999999999998</c:v>
                </c:pt>
                <c:pt idx="28">
                  <c:v>120</c:v>
                </c:pt>
                <c:pt idx="29">
                  <c:v>116.39999999999999</c:v>
                </c:pt>
                <c:pt idx="30">
                  <c:v>112.79999999999998</c:v>
                </c:pt>
                <c:pt idx="31">
                  <c:v>110.39999999999999</c:v>
                </c:pt>
                <c:pt idx="32">
                  <c:v>110.39999999999999</c:v>
                </c:pt>
                <c:pt idx="33">
                  <c:v>108</c:v>
                </c:pt>
                <c:pt idx="34">
                  <c:v>100.79999999999998</c:v>
                </c:pt>
                <c:pt idx="35">
                  <c:v>103.20000000000002</c:v>
                </c:pt>
                <c:pt idx="36">
                  <c:v>94.79999999999998</c:v>
                </c:pt>
                <c:pt idx="37">
                  <c:v>94.79999999999998</c:v>
                </c:pt>
                <c:pt idx="38">
                  <c:v>92.39999999999999</c:v>
                </c:pt>
                <c:pt idx="39">
                  <c:v>90</c:v>
                </c:pt>
                <c:pt idx="40">
                  <c:v>86.39999999999999</c:v>
                </c:pt>
                <c:pt idx="41">
                  <c:v>80.39999999999999</c:v>
                </c:pt>
                <c:pt idx="42">
                  <c:v>80.39999999999999</c:v>
                </c:pt>
                <c:pt idx="43">
                  <c:v>75.60000000000001</c:v>
                </c:pt>
                <c:pt idx="44">
                  <c:v>74.39999999999999</c:v>
                </c:pt>
                <c:pt idx="45">
                  <c:v>69.60000000000001</c:v>
                </c:pt>
                <c:pt idx="46">
                  <c:v>67.20000000000002</c:v>
                </c:pt>
                <c:pt idx="47">
                  <c:v>63.599999999999966</c:v>
                </c:pt>
                <c:pt idx="48">
                  <c:v>63.599999999999966</c:v>
                </c:pt>
                <c:pt idx="49">
                  <c:v>60</c:v>
                </c:pt>
                <c:pt idx="50">
                  <c:v>56.400000000000034</c:v>
                </c:pt>
                <c:pt idx="51">
                  <c:v>50.400000000000034</c:v>
                </c:pt>
                <c:pt idx="52">
                  <c:v>50.400000000000034</c:v>
                </c:pt>
                <c:pt idx="53">
                  <c:v>44.400000000000034</c:v>
                </c:pt>
                <c:pt idx="54">
                  <c:v>40.79999999999998</c:v>
                </c:pt>
                <c:pt idx="55">
                  <c:v>42</c:v>
                </c:pt>
                <c:pt idx="56">
                  <c:v>38.400000000000034</c:v>
                </c:pt>
                <c:pt idx="57">
                  <c:v>34.79999999999998</c:v>
                </c:pt>
                <c:pt idx="58">
                  <c:v>32.400000000000034</c:v>
                </c:pt>
                <c:pt idx="59">
                  <c:v>28.799999999999983</c:v>
                </c:pt>
                <c:pt idx="60">
                  <c:v>24</c:v>
                </c:pt>
                <c:pt idx="61">
                  <c:v>21.599999999999966</c:v>
                </c:pt>
                <c:pt idx="62">
                  <c:v>19.200000000000017</c:v>
                </c:pt>
                <c:pt idx="63">
                  <c:v>18</c:v>
                </c:pt>
                <c:pt idx="64">
                  <c:v>15.599999999999966</c:v>
                </c:pt>
                <c:pt idx="65">
                  <c:v>13.200000000000017</c:v>
                </c:pt>
                <c:pt idx="66">
                  <c:v>9.599999999999966</c:v>
                </c:pt>
                <c:pt idx="67">
                  <c:v>8.400000000000034</c:v>
                </c:pt>
                <c:pt idx="68">
                  <c:v>4.799999999999983</c:v>
                </c:pt>
                <c:pt idx="69">
                  <c:v>1.200000000000017</c:v>
                </c:pt>
                <c:pt idx="70">
                  <c:v>0</c:v>
                </c:pt>
                <c:pt idx="71">
                  <c:v>-1.200000000000017</c:v>
                </c:pt>
                <c:pt idx="72">
                  <c:v>-4.799999999999983</c:v>
                </c:pt>
                <c:pt idx="73">
                  <c:v>-7.200000000000017</c:v>
                </c:pt>
                <c:pt idx="74">
                  <c:v>-8.400000000000034</c:v>
                </c:pt>
                <c:pt idx="75">
                  <c:v>-12</c:v>
                </c:pt>
                <c:pt idx="76">
                  <c:v>-12</c:v>
                </c:pt>
                <c:pt idx="77">
                  <c:v>-12</c:v>
                </c:pt>
                <c:pt idx="78">
                  <c:v>-14.400000000000034</c:v>
                </c:pt>
                <c:pt idx="79">
                  <c:v>-16.799999999999983</c:v>
                </c:pt>
                <c:pt idx="80">
                  <c:v>-19.200000000000017</c:v>
                </c:pt>
                <c:pt idx="81">
                  <c:v>-18</c:v>
                </c:pt>
                <c:pt idx="82">
                  <c:v>-20.400000000000034</c:v>
                </c:pt>
                <c:pt idx="83">
                  <c:v>-18</c:v>
                </c:pt>
                <c:pt idx="84">
                  <c:v>-19.200000000000017</c:v>
                </c:pt>
                <c:pt idx="85">
                  <c:v>-21.599999999999966</c:v>
                </c:pt>
                <c:pt idx="86">
                  <c:v>-21.599999999999966</c:v>
                </c:pt>
                <c:pt idx="87">
                  <c:v>-22.799999999999983</c:v>
                </c:pt>
                <c:pt idx="88">
                  <c:v>-25.200000000000017</c:v>
                </c:pt>
                <c:pt idx="89">
                  <c:v>-26.400000000000034</c:v>
                </c:pt>
                <c:pt idx="90">
                  <c:v>-25.200000000000017</c:v>
                </c:pt>
                <c:pt idx="91">
                  <c:v>-25.200000000000017</c:v>
                </c:pt>
                <c:pt idx="92">
                  <c:v>-26.400000000000034</c:v>
                </c:pt>
                <c:pt idx="93">
                  <c:v>-26.400000000000034</c:v>
                </c:pt>
                <c:pt idx="94">
                  <c:v>-26.400000000000034</c:v>
                </c:pt>
                <c:pt idx="95">
                  <c:v>-27.599999999999966</c:v>
                </c:pt>
                <c:pt idx="96">
                  <c:v>-26.400000000000034</c:v>
                </c:pt>
                <c:pt idx="97">
                  <c:v>-27.599999999999966</c:v>
                </c:pt>
                <c:pt idx="98">
                  <c:v>-28.799999999999983</c:v>
                </c:pt>
                <c:pt idx="99">
                  <c:v>-26.400000000000034</c:v>
                </c:pt>
                <c:pt idx="100">
                  <c:v>-25.200000000000017</c:v>
                </c:pt>
                <c:pt idx="101">
                  <c:v>-26.400000000000034</c:v>
                </c:pt>
                <c:pt idx="102">
                  <c:v>-25.200000000000017</c:v>
                </c:pt>
                <c:pt idx="103">
                  <c:v>-25.200000000000017</c:v>
                </c:pt>
                <c:pt idx="104">
                  <c:v>-26.400000000000034</c:v>
                </c:pt>
                <c:pt idx="105">
                  <c:v>-24</c:v>
                </c:pt>
                <c:pt idx="106">
                  <c:v>-24</c:v>
                </c:pt>
                <c:pt idx="107">
                  <c:v>-22.799999999999983</c:v>
                </c:pt>
                <c:pt idx="108">
                  <c:v>-21.599999999999966</c:v>
                </c:pt>
                <c:pt idx="109">
                  <c:v>-24</c:v>
                </c:pt>
                <c:pt idx="110">
                  <c:v>-21.599999999999966</c:v>
                </c:pt>
                <c:pt idx="111">
                  <c:v>-20.400000000000034</c:v>
                </c:pt>
                <c:pt idx="112">
                  <c:v>-18</c:v>
                </c:pt>
                <c:pt idx="113">
                  <c:v>-21.599999999999966</c:v>
                </c:pt>
                <c:pt idx="114">
                  <c:v>-20.400000000000034</c:v>
                </c:pt>
                <c:pt idx="115">
                  <c:v>-19.200000000000017</c:v>
                </c:pt>
                <c:pt idx="116">
                  <c:v>-15.599999999999966</c:v>
                </c:pt>
                <c:pt idx="117">
                  <c:v>-15.599999999999966</c:v>
                </c:pt>
                <c:pt idx="118">
                  <c:v>-16.799999999999983</c:v>
                </c:pt>
                <c:pt idx="119">
                  <c:v>-15.599999999999966</c:v>
                </c:pt>
                <c:pt idx="120">
                  <c:v>-12</c:v>
                </c:pt>
                <c:pt idx="121">
                  <c:v>-14.400000000000034</c:v>
                </c:pt>
                <c:pt idx="122">
                  <c:v>-13.200000000000017</c:v>
                </c:pt>
                <c:pt idx="123">
                  <c:v>-10.799999999999983</c:v>
                </c:pt>
                <c:pt idx="124">
                  <c:v>-12</c:v>
                </c:pt>
                <c:pt idx="125">
                  <c:v>-13.200000000000017</c:v>
                </c:pt>
                <c:pt idx="126">
                  <c:v>-10.799999999999983</c:v>
                </c:pt>
                <c:pt idx="127">
                  <c:v>-9.599999999999966</c:v>
                </c:pt>
                <c:pt idx="128">
                  <c:v>-8.400000000000034</c:v>
                </c:pt>
                <c:pt idx="129">
                  <c:v>-8.400000000000034</c:v>
                </c:pt>
                <c:pt idx="130">
                  <c:v>-6</c:v>
                </c:pt>
                <c:pt idx="131">
                  <c:v>-7.200000000000017</c:v>
                </c:pt>
                <c:pt idx="132">
                  <c:v>-6</c:v>
                </c:pt>
                <c:pt idx="133">
                  <c:v>-6</c:v>
                </c:pt>
                <c:pt idx="134">
                  <c:v>-4.799999999999983</c:v>
                </c:pt>
                <c:pt idx="135">
                  <c:v>-1.200000000000017</c:v>
                </c:pt>
                <c:pt idx="136">
                  <c:v>-2.400000000000034</c:v>
                </c:pt>
                <c:pt idx="137">
                  <c:v>-2.400000000000034</c:v>
                </c:pt>
                <c:pt idx="138">
                  <c:v>0</c:v>
                </c:pt>
                <c:pt idx="139">
                  <c:v>2.400000000000034</c:v>
                </c:pt>
                <c:pt idx="140">
                  <c:v>1.200000000000017</c:v>
                </c:pt>
                <c:pt idx="141">
                  <c:v>1.200000000000017</c:v>
                </c:pt>
                <c:pt idx="142">
                  <c:v>2.400000000000034</c:v>
                </c:pt>
                <c:pt idx="143">
                  <c:v>3.599999999999966</c:v>
                </c:pt>
                <c:pt idx="144">
                  <c:v>1.200000000000017</c:v>
                </c:pt>
                <c:pt idx="145">
                  <c:v>4.799999999999983</c:v>
                </c:pt>
                <c:pt idx="146">
                  <c:v>4.799999999999983</c:v>
                </c:pt>
                <c:pt idx="147">
                  <c:v>4.799999999999983</c:v>
                </c:pt>
                <c:pt idx="148">
                  <c:v>4.799999999999983</c:v>
                </c:pt>
                <c:pt idx="149">
                  <c:v>6</c:v>
                </c:pt>
                <c:pt idx="150">
                  <c:v>6</c:v>
                </c:pt>
                <c:pt idx="151">
                  <c:v>8.400000000000034</c:v>
                </c:pt>
                <c:pt idx="152">
                  <c:v>8.400000000000034</c:v>
                </c:pt>
                <c:pt idx="153">
                  <c:v>6</c:v>
                </c:pt>
                <c:pt idx="154">
                  <c:v>8.400000000000034</c:v>
                </c:pt>
                <c:pt idx="155">
                  <c:v>8.400000000000034</c:v>
                </c:pt>
                <c:pt idx="156">
                  <c:v>7.200000000000017</c:v>
                </c:pt>
                <c:pt idx="157">
                  <c:v>14.400000000000034</c:v>
                </c:pt>
                <c:pt idx="158">
                  <c:v>10.799999999999983</c:v>
                </c:pt>
                <c:pt idx="159">
                  <c:v>9.599999999999966</c:v>
                </c:pt>
                <c:pt idx="160">
                  <c:v>13.200000000000017</c:v>
                </c:pt>
                <c:pt idx="161">
                  <c:v>9.599999999999966</c:v>
                </c:pt>
                <c:pt idx="162">
                  <c:v>9.599999999999966</c:v>
                </c:pt>
                <c:pt idx="163">
                  <c:v>12</c:v>
                </c:pt>
                <c:pt idx="164">
                  <c:v>10.799999999999983</c:v>
                </c:pt>
                <c:pt idx="165">
                  <c:v>16.799999999999983</c:v>
                </c:pt>
                <c:pt idx="166">
                  <c:v>12</c:v>
                </c:pt>
                <c:pt idx="167">
                  <c:v>10.799999999999983</c:v>
                </c:pt>
                <c:pt idx="168">
                  <c:v>9.599999999999966</c:v>
                </c:pt>
                <c:pt idx="169">
                  <c:v>10.799999999999983</c:v>
                </c:pt>
                <c:pt idx="170">
                  <c:v>12</c:v>
                </c:pt>
                <c:pt idx="171">
                  <c:v>9.599999999999966</c:v>
                </c:pt>
                <c:pt idx="172">
                  <c:v>9.599999999999966</c:v>
                </c:pt>
                <c:pt idx="173">
                  <c:v>10.799999999999983</c:v>
                </c:pt>
                <c:pt idx="174">
                  <c:v>10.799999999999983</c:v>
                </c:pt>
                <c:pt idx="175">
                  <c:v>12</c:v>
                </c:pt>
                <c:pt idx="176">
                  <c:v>10.799999999999983</c:v>
                </c:pt>
                <c:pt idx="177">
                  <c:v>12</c:v>
                </c:pt>
                <c:pt idx="178">
                  <c:v>13.200000000000017</c:v>
                </c:pt>
                <c:pt idx="179">
                  <c:v>12</c:v>
                </c:pt>
                <c:pt idx="180">
                  <c:v>12</c:v>
                </c:pt>
                <c:pt idx="181">
                  <c:v>10.799999999999983</c:v>
                </c:pt>
                <c:pt idx="182">
                  <c:v>9.599999999999966</c:v>
                </c:pt>
                <c:pt idx="183">
                  <c:v>10.799999999999983</c:v>
                </c:pt>
                <c:pt idx="184">
                  <c:v>12</c:v>
                </c:pt>
                <c:pt idx="185">
                  <c:v>10.799999999999983</c:v>
                </c:pt>
                <c:pt idx="186">
                  <c:v>10.799999999999983</c:v>
                </c:pt>
                <c:pt idx="187">
                  <c:v>12</c:v>
                </c:pt>
                <c:pt idx="188">
                  <c:v>10.799999999999983</c:v>
                </c:pt>
                <c:pt idx="189">
                  <c:v>9.599999999999966</c:v>
                </c:pt>
                <c:pt idx="190">
                  <c:v>9.599999999999966</c:v>
                </c:pt>
                <c:pt idx="191">
                  <c:v>9.599999999999966</c:v>
                </c:pt>
                <c:pt idx="192">
                  <c:v>9.599999999999966</c:v>
                </c:pt>
                <c:pt idx="193">
                  <c:v>9.599999999999966</c:v>
                </c:pt>
                <c:pt idx="194">
                  <c:v>8.400000000000034</c:v>
                </c:pt>
                <c:pt idx="195">
                  <c:v>8.400000000000034</c:v>
                </c:pt>
                <c:pt idx="196">
                  <c:v>8.400000000000034</c:v>
                </c:pt>
                <c:pt idx="197">
                  <c:v>8.400000000000034</c:v>
                </c:pt>
                <c:pt idx="198">
                  <c:v>8.400000000000034</c:v>
                </c:pt>
                <c:pt idx="199">
                  <c:v>9.599999999999966</c:v>
                </c:pt>
                <c:pt idx="200">
                  <c:v>9.599999999999966</c:v>
                </c:pt>
                <c:pt idx="201">
                  <c:v>8.400000000000034</c:v>
                </c:pt>
                <c:pt idx="202">
                  <c:v>8.400000000000034</c:v>
                </c:pt>
                <c:pt idx="203">
                  <c:v>7.200000000000017</c:v>
                </c:pt>
                <c:pt idx="204">
                  <c:v>6</c:v>
                </c:pt>
                <c:pt idx="205">
                  <c:v>8.400000000000034</c:v>
                </c:pt>
                <c:pt idx="206">
                  <c:v>8.400000000000034</c:v>
                </c:pt>
                <c:pt idx="207">
                  <c:v>6</c:v>
                </c:pt>
                <c:pt idx="208">
                  <c:v>6</c:v>
                </c:pt>
                <c:pt idx="209">
                  <c:v>7.200000000000017</c:v>
                </c:pt>
                <c:pt idx="210">
                  <c:v>6</c:v>
                </c:pt>
                <c:pt idx="211">
                  <c:v>6</c:v>
                </c:pt>
                <c:pt idx="212">
                  <c:v>7.200000000000017</c:v>
                </c:pt>
                <c:pt idx="213">
                  <c:v>3.599999999999966</c:v>
                </c:pt>
                <c:pt idx="214">
                  <c:v>4.799999999999983</c:v>
                </c:pt>
                <c:pt idx="215">
                  <c:v>3.599999999999966</c:v>
                </c:pt>
                <c:pt idx="216">
                  <c:v>4.799999999999983</c:v>
                </c:pt>
                <c:pt idx="217">
                  <c:v>6</c:v>
                </c:pt>
                <c:pt idx="218">
                  <c:v>4.799999999999983</c:v>
                </c:pt>
                <c:pt idx="219">
                  <c:v>4.799999999999983</c:v>
                </c:pt>
                <c:pt idx="220">
                  <c:v>6</c:v>
                </c:pt>
                <c:pt idx="221">
                  <c:v>4.799999999999983</c:v>
                </c:pt>
                <c:pt idx="222">
                  <c:v>3.599999999999966</c:v>
                </c:pt>
                <c:pt idx="223">
                  <c:v>3.599999999999966</c:v>
                </c:pt>
                <c:pt idx="224">
                  <c:v>2.400000000000034</c:v>
                </c:pt>
                <c:pt idx="225">
                  <c:v>3.599999999999966</c:v>
                </c:pt>
                <c:pt idx="226">
                  <c:v>3.599999999999966</c:v>
                </c:pt>
                <c:pt idx="227">
                  <c:v>4.799999999999983</c:v>
                </c:pt>
                <c:pt idx="228">
                  <c:v>3.599999999999966</c:v>
                </c:pt>
                <c:pt idx="229">
                  <c:v>1.200000000000017</c:v>
                </c:pt>
                <c:pt idx="230">
                  <c:v>3.599999999999966</c:v>
                </c:pt>
                <c:pt idx="231">
                  <c:v>2.400000000000034</c:v>
                </c:pt>
                <c:pt idx="232">
                  <c:v>3.599999999999966</c:v>
                </c:pt>
                <c:pt idx="233">
                  <c:v>4.799999999999983</c:v>
                </c:pt>
                <c:pt idx="234">
                  <c:v>2.400000000000034</c:v>
                </c:pt>
                <c:pt idx="235">
                  <c:v>2.400000000000034</c:v>
                </c:pt>
                <c:pt idx="236">
                  <c:v>2.400000000000034</c:v>
                </c:pt>
                <c:pt idx="237">
                  <c:v>3.599999999999966</c:v>
                </c:pt>
                <c:pt idx="238">
                  <c:v>1.200000000000017</c:v>
                </c:pt>
                <c:pt idx="239">
                  <c:v>2.400000000000034</c:v>
                </c:pt>
                <c:pt idx="240">
                  <c:v>6</c:v>
                </c:pt>
                <c:pt idx="241">
                  <c:v>2.400000000000034</c:v>
                </c:pt>
                <c:pt idx="242">
                  <c:v>2.400000000000034</c:v>
                </c:pt>
                <c:pt idx="243">
                  <c:v>1.200000000000017</c:v>
                </c:pt>
                <c:pt idx="244">
                  <c:v>1.200000000000017</c:v>
                </c:pt>
                <c:pt idx="245">
                  <c:v>2.400000000000034</c:v>
                </c:pt>
                <c:pt idx="246">
                  <c:v>2.400000000000034</c:v>
                </c:pt>
                <c:pt idx="247">
                  <c:v>3.599999999999966</c:v>
                </c:pt>
                <c:pt idx="248">
                  <c:v>1.200000000000017</c:v>
                </c:pt>
                <c:pt idx="249">
                  <c:v>2.400000000000034</c:v>
                </c:pt>
                <c:pt idx="250">
                  <c:v>3.599999999999966</c:v>
                </c:pt>
                <c:pt idx="251">
                  <c:v>3.599999999999966</c:v>
                </c:pt>
                <c:pt idx="252">
                  <c:v>2.400000000000034</c:v>
                </c:pt>
                <c:pt idx="253">
                  <c:v>2.400000000000034</c:v>
                </c:pt>
                <c:pt idx="254">
                  <c:v>1.200000000000017</c:v>
                </c:pt>
                <c:pt idx="255">
                  <c:v>2.400000000000034</c:v>
                </c:pt>
                <c:pt idx="256">
                  <c:v>2.400000000000034</c:v>
                </c:pt>
                <c:pt idx="257">
                  <c:v>2.400000000000034</c:v>
                </c:pt>
                <c:pt idx="258">
                  <c:v>3.599999999999966</c:v>
                </c:pt>
                <c:pt idx="259">
                  <c:v>2.400000000000034</c:v>
                </c:pt>
                <c:pt idx="260">
                  <c:v>4.799999999999983</c:v>
                </c:pt>
                <c:pt idx="261">
                  <c:v>4.799999999999983</c:v>
                </c:pt>
                <c:pt idx="262">
                  <c:v>2.400000000000034</c:v>
                </c:pt>
                <c:pt idx="263">
                  <c:v>2.400000000000034</c:v>
                </c:pt>
                <c:pt idx="264">
                  <c:v>3.599999999999966</c:v>
                </c:pt>
                <c:pt idx="265">
                  <c:v>2.400000000000034</c:v>
                </c:pt>
                <c:pt idx="266">
                  <c:v>3.599999999999966</c:v>
                </c:pt>
                <c:pt idx="267">
                  <c:v>0</c:v>
                </c:pt>
                <c:pt idx="268">
                  <c:v>3.599999999999966</c:v>
                </c:pt>
                <c:pt idx="269">
                  <c:v>0</c:v>
                </c:pt>
                <c:pt idx="270">
                  <c:v>3.599999999999966</c:v>
                </c:pt>
                <c:pt idx="271">
                  <c:v>1.200000000000017</c:v>
                </c:pt>
                <c:pt idx="272">
                  <c:v>2.400000000000034</c:v>
                </c:pt>
                <c:pt idx="273">
                  <c:v>1.200000000000017</c:v>
                </c:pt>
                <c:pt idx="274">
                  <c:v>3.599999999999966</c:v>
                </c:pt>
                <c:pt idx="275">
                  <c:v>3.599999999999966</c:v>
                </c:pt>
                <c:pt idx="276">
                  <c:v>4.799999999999983</c:v>
                </c:pt>
                <c:pt idx="277">
                  <c:v>2.400000000000034</c:v>
                </c:pt>
                <c:pt idx="278">
                  <c:v>3.599999999999966</c:v>
                </c:pt>
                <c:pt idx="279">
                  <c:v>2.400000000000034</c:v>
                </c:pt>
                <c:pt idx="280">
                  <c:v>3.599999999999966</c:v>
                </c:pt>
                <c:pt idx="281">
                  <c:v>2.400000000000034</c:v>
                </c:pt>
                <c:pt idx="282">
                  <c:v>4.799999999999983</c:v>
                </c:pt>
                <c:pt idx="283">
                  <c:v>3.599999999999966</c:v>
                </c:pt>
                <c:pt idx="284">
                  <c:v>2.400000000000034</c:v>
                </c:pt>
                <c:pt idx="285">
                  <c:v>2.400000000000034</c:v>
                </c:pt>
                <c:pt idx="286">
                  <c:v>1.200000000000017</c:v>
                </c:pt>
                <c:pt idx="287">
                  <c:v>3.599999999999966</c:v>
                </c:pt>
                <c:pt idx="288">
                  <c:v>2.400000000000034</c:v>
                </c:pt>
                <c:pt idx="289">
                  <c:v>1.200000000000017</c:v>
                </c:pt>
                <c:pt idx="290">
                  <c:v>3.599999999999966</c:v>
                </c:pt>
                <c:pt idx="291">
                  <c:v>2.400000000000034</c:v>
                </c:pt>
                <c:pt idx="292">
                  <c:v>3.599999999999966</c:v>
                </c:pt>
                <c:pt idx="293">
                  <c:v>3.599999999999966</c:v>
                </c:pt>
                <c:pt idx="294">
                  <c:v>2.400000000000034</c:v>
                </c:pt>
                <c:pt idx="295">
                  <c:v>-2.400000000000034</c:v>
                </c:pt>
                <c:pt idx="296">
                  <c:v>3.599999999999966</c:v>
                </c:pt>
                <c:pt idx="297">
                  <c:v>3.599999999999966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Sheet1!$O$1</c:f>
              <c:strCache>
                <c:ptCount val="1"/>
                <c:pt idx="0">
                  <c:v>Fake Kp (10)</c:v>
                </c:pt>
              </c:strCache>
            </c:strRef>
          </c:tx>
          <c:spPr bwMode="auto">
            <a:prstGeom prst="rect">
              <a:avLst/>
            </a:prstGeom>
            <a:noFill/>
            <a:ln w="12700" cap="rnd" cmpd="sng" algn="ctr">
              <a:solidFill>
                <a:srgbClr val="850071"/>
              </a:solidFill>
              <a:prstDash val="solid"/>
              <a:miter lim="800000"/>
            </a:ln>
          </c:spPr>
          <c:marker>
            <c:symbol val="none"/>
          </c:marker>
          <c:cat>
            <c:numRef>
              <c:f>Sheet1!$F$2:$F$299</c:f>
            </c:numRef>
          </c:cat>
          <c:val>
            <c:numRef>
              <c:f>Sheet1!$O$2:$O$299</c:f>
              <c:numCache>
                <c:formatCode>General</c:formatCode>
                <c:ptCount val="298"/>
                <c:pt idx="0">
                  <c:v>132</c:v>
                </c:pt>
                <c:pt idx="1">
                  <c:v>129</c:v>
                </c:pt>
                <c:pt idx="2">
                  <c:v>132</c:v>
                </c:pt>
                <c:pt idx="3">
                  <c:v>133</c:v>
                </c:pt>
                <c:pt idx="4">
                  <c:v>131</c:v>
                </c:pt>
                <c:pt idx="5">
                  <c:v>131</c:v>
                </c:pt>
                <c:pt idx="6">
                  <c:v>128</c:v>
                </c:pt>
                <c:pt idx="7">
                  <c:v>131</c:v>
                </c:pt>
                <c:pt idx="8">
                  <c:v>130</c:v>
                </c:pt>
                <c:pt idx="9">
                  <c:v>129</c:v>
                </c:pt>
                <c:pt idx="10">
                  <c:v>129</c:v>
                </c:pt>
                <c:pt idx="11">
                  <c:v>125</c:v>
                </c:pt>
                <c:pt idx="12">
                  <c:v>127</c:v>
                </c:pt>
                <c:pt idx="13">
                  <c:v>126.00000000000001</c:v>
                </c:pt>
                <c:pt idx="14">
                  <c:v>125</c:v>
                </c:pt>
                <c:pt idx="15">
                  <c:v>123.99999999999999</c:v>
                </c:pt>
                <c:pt idx="16">
                  <c:v>123</c:v>
                </c:pt>
                <c:pt idx="17">
                  <c:v>118</c:v>
                </c:pt>
                <c:pt idx="18">
                  <c:v>120</c:v>
                </c:pt>
                <c:pt idx="19">
                  <c:v>118</c:v>
                </c:pt>
                <c:pt idx="20">
                  <c:v>117</c:v>
                </c:pt>
                <c:pt idx="21">
                  <c:v>113.99999999999999</c:v>
                </c:pt>
                <c:pt idx="22">
                  <c:v>111.00000000000001</c:v>
                </c:pt>
                <c:pt idx="23">
                  <c:v>110</c:v>
                </c:pt>
                <c:pt idx="24">
                  <c:v>108.99999999999999</c:v>
                </c:pt>
                <c:pt idx="25">
                  <c:v>106.00000000000001</c:v>
                </c:pt>
                <c:pt idx="26">
                  <c:v>103.99999999999999</c:v>
                </c:pt>
                <c:pt idx="27">
                  <c:v>103.99999999999999</c:v>
                </c:pt>
                <c:pt idx="28">
                  <c:v>100</c:v>
                </c:pt>
                <c:pt idx="29">
                  <c:v>97</c:v>
                </c:pt>
                <c:pt idx="30">
                  <c:v>93.99999999999999</c:v>
                </c:pt>
                <c:pt idx="31">
                  <c:v>92</c:v>
                </c:pt>
                <c:pt idx="32">
                  <c:v>92</c:v>
                </c:pt>
                <c:pt idx="33">
                  <c:v>90</c:v>
                </c:pt>
                <c:pt idx="34">
                  <c:v>83.99999999999999</c:v>
                </c:pt>
                <c:pt idx="35">
                  <c:v>86.00000000000001</c:v>
                </c:pt>
                <c:pt idx="36">
                  <c:v>78.99999999999999</c:v>
                </c:pt>
                <c:pt idx="37">
                  <c:v>78.99999999999999</c:v>
                </c:pt>
                <c:pt idx="38">
                  <c:v>77</c:v>
                </c:pt>
                <c:pt idx="39">
                  <c:v>75</c:v>
                </c:pt>
                <c:pt idx="40">
                  <c:v>72</c:v>
                </c:pt>
                <c:pt idx="41">
                  <c:v>67</c:v>
                </c:pt>
                <c:pt idx="42">
                  <c:v>67</c:v>
                </c:pt>
                <c:pt idx="43">
                  <c:v>63.00000000000001</c:v>
                </c:pt>
                <c:pt idx="44">
                  <c:v>61.99999999999999</c:v>
                </c:pt>
                <c:pt idx="45">
                  <c:v>58.00000000000001</c:v>
                </c:pt>
                <c:pt idx="46">
                  <c:v>56.000000000000014</c:v>
                </c:pt>
                <c:pt idx="47">
                  <c:v>52.99999999999997</c:v>
                </c:pt>
                <c:pt idx="48">
                  <c:v>52.99999999999997</c:v>
                </c:pt>
                <c:pt idx="49">
                  <c:v>50</c:v>
                </c:pt>
                <c:pt idx="50">
                  <c:v>47.00000000000003</c:v>
                </c:pt>
                <c:pt idx="51">
                  <c:v>42.00000000000003</c:v>
                </c:pt>
                <c:pt idx="52">
                  <c:v>42.00000000000003</c:v>
                </c:pt>
                <c:pt idx="53">
                  <c:v>37.00000000000003</c:v>
                </c:pt>
                <c:pt idx="54">
                  <c:v>33.999999999999986</c:v>
                </c:pt>
                <c:pt idx="55">
                  <c:v>35</c:v>
                </c:pt>
                <c:pt idx="56">
                  <c:v>32.00000000000003</c:v>
                </c:pt>
                <c:pt idx="57">
                  <c:v>28.999999999999986</c:v>
                </c:pt>
                <c:pt idx="58">
                  <c:v>27.00000000000003</c:v>
                </c:pt>
                <c:pt idx="59">
                  <c:v>23.999999999999986</c:v>
                </c:pt>
                <c:pt idx="60">
                  <c:v>20</c:v>
                </c:pt>
                <c:pt idx="61">
                  <c:v>17.99999999999997</c:v>
                </c:pt>
                <c:pt idx="62">
                  <c:v>16.000000000000014</c:v>
                </c:pt>
                <c:pt idx="63">
                  <c:v>15</c:v>
                </c:pt>
                <c:pt idx="64">
                  <c:v>12.999999999999972</c:v>
                </c:pt>
                <c:pt idx="65">
                  <c:v>11.000000000000014</c:v>
                </c:pt>
                <c:pt idx="66">
                  <c:v>7.999999999999972</c:v>
                </c:pt>
                <c:pt idx="67">
                  <c:v>7.000000000000028</c:v>
                </c:pt>
                <c:pt idx="68">
                  <c:v>3.999999999999986</c:v>
                </c:pt>
                <c:pt idx="69">
                  <c:v>1.0000000000000142</c:v>
                </c:pt>
                <c:pt idx="70">
                  <c:v>0</c:v>
                </c:pt>
                <c:pt idx="71">
                  <c:v>-1.0000000000000142</c:v>
                </c:pt>
                <c:pt idx="72">
                  <c:v>-3.999999999999986</c:v>
                </c:pt>
                <c:pt idx="73">
                  <c:v>-6.000000000000014</c:v>
                </c:pt>
                <c:pt idx="74">
                  <c:v>-7.000000000000028</c:v>
                </c:pt>
                <c:pt idx="75">
                  <c:v>-10</c:v>
                </c:pt>
                <c:pt idx="76">
                  <c:v>-10</c:v>
                </c:pt>
                <c:pt idx="77">
                  <c:v>-10</c:v>
                </c:pt>
                <c:pt idx="78">
                  <c:v>-12.000000000000028</c:v>
                </c:pt>
                <c:pt idx="79">
                  <c:v>-13.999999999999986</c:v>
                </c:pt>
                <c:pt idx="80">
                  <c:v>-16.000000000000014</c:v>
                </c:pt>
                <c:pt idx="81">
                  <c:v>-15</c:v>
                </c:pt>
                <c:pt idx="82">
                  <c:v>-17.00000000000003</c:v>
                </c:pt>
                <c:pt idx="83">
                  <c:v>-15</c:v>
                </c:pt>
                <c:pt idx="84">
                  <c:v>-16.000000000000014</c:v>
                </c:pt>
                <c:pt idx="85">
                  <c:v>-17.99999999999997</c:v>
                </c:pt>
                <c:pt idx="86">
                  <c:v>-17.99999999999997</c:v>
                </c:pt>
                <c:pt idx="87">
                  <c:v>-18.999999999999986</c:v>
                </c:pt>
                <c:pt idx="88">
                  <c:v>-21.000000000000014</c:v>
                </c:pt>
                <c:pt idx="89">
                  <c:v>-22.00000000000003</c:v>
                </c:pt>
                <c:pt idx="90">
                  <c:v>-21.000000000000014</c:v>
                </c:pt>
                <c:pt idx="91">
                  <c:v>-21.000000000000014</c:v>
                </c:pt>
                <c:pt idx="92">
                  <c:v>-22.00000000000003</c:v>
                </c:pt>
                <c:pt idx="93">
                  <c:v>-22.00000000000003</c:v>
                </c:pt>
                <c:pt idx="94">
                  <c:v>-22.00000000000003</c:v>
                </c:pt>
                <c:pt idx="95">
                  <c:v>-22.99999999999997</c:v>
                </c:pt>
                <c:pt idx="96">
                  <c:v>-22.00000000000003</c:v>
                </c:pt>
                <c:pt idx="97">
                  <c:v>-22.99999999999997</c:v>
                </c:pt>
                <c:pt idx="98">
                  <c:v>-23.999999999999986</c:v>
                </c:pt>
                <c:pt idx="99">
                  <c:v>-22.00000000000003</c:v>
                </c:pt>
                <c:pt idx="100">
                  <c:v>-21.000000000000014</c:v>
                </c:pt>
                <c:pt idx="101">
                  <c:v>-22.00000000000003</c:v>
                </c:pt>
                <c:pt idx="102">
                  <c:v>-21.000000000000014</c:v>
                </c:pt>
                <c:pt idx="103">
                  <c:v>-21.000000000000014</c:v>
                </c:pt>
                <c:pt idx="104">
                  <c:v>-22.00000000000003</c:v>
                </c:pt>
                <c:pt idx="105">
                  <c:v>-20</c:v>
                </c:pt>
                <c:pt idx="106">
                  <c:v>-20</c:v>
                </c:pt>
                <c:pt idx="107">
                  <c:v>-18.999999999999986</c:v>
                </c:pt>
                <c:pt idx="108">
                  <c:v>-17.99999999999997</c:v>
                </c:pt>
                <c:pt idx="109">
                  <c:v>-20</c:v>
                </c:pt>
                <c:pt idx="110">
                  <c:v>-17.99999999999997</c:v>
                </c:pt>
                <c:pt idx="111">
                  <c:v>-17.00000000000003</c:v>
                </c:pt>
                <c:pt idx="112">
                  <c:v>-15</c:v>
                </c:pt>
                <c:pt idx="113">
                  <c:v>-17.99999999999997</c:v>
                </c:pt>
                <c:pt idx="114">
                  <c:v>-17.00000000000003</c:v>
                </c:pt>
                <c:pt idx="115">
                  <c:v>-16.000000000000014</c:v>
                </c:pt>
                <c:pt idx="116">
                  <c:v>-12.999999999999972</c:v>
                </c:pt>
                <c:pt idx="117">
                  <c:v>-12.999999999999972</c:v>
                </c:pt>
                <c:pt idx="118">
                  <c:v>-13.999999999999986</c:v>
                </c:pt>
                <c:pt idx="119">
                  <c:v>-12.999999999999972</c:v>
                </c:pt>
                <c:pt idx="120">
                  <c:v>-10</c:v>
                </c:pt>
                <c:pt idx="121">
                  <c:v>-12.000000000000028</c:v>
                </c:pt>
                <c:pt idx="122">
                  <c:v>-11.000000000000014</c:v>
                </c:pt>
                <c:pt idx="123">
                  <c:v>-8.999999999999986</c:v>
                </c:pt>
                <c:pt idx="124">
                  <c:v>-10</c:v>
                </c:pt>
                <c:pt idx="125">
                  <c:v>-11.000000000000014</c:v>
                </c:pt>
                <c:pt idx="126">
                  <c:v>-8.999999999999986</c:v>
                </c:pt>
                <c:pt idx="127">
                  <c:v>-7.999999999999972</c:v>
                </c:pt>
                <c:pt idx="128">
                  <c:v>-7.000000000000028</c:v>
                </c:pt>
                <c:pt idx="129">
                  <c:v>-7.000000000000028</c:v>
                </c:pt>
                <c:pt idx="130">
                  <c:v>-5</c:v>
                </c:pt>
                <c:pt idx="131">
                  <c:v>-6.000000000000014</c:v>
                </c:pt>
                <c:pt idx="132">
                  <c:v>-5</c:v>
                </c:pt>
                <c:pt idx="133">
                  <c:v>-5</c:v>
                </c:pt>
                <c:pt idx="134">
                  <c:v>-3.999999999999986</c:v>
                </c:pt>
                <c:pt idx="135">
                  <c:v>-1.0000000000000142</c:v>
                </c:pt>
                <c:pt idx="136">
                  <c:v>-2.0000000000000284</c:v>
                </c:pt>
                <c:pt idx="137">
                  <c:v>-2.0000000000000284</c:v>
                </c:pt>
                <c:pt idx="138">
                  <c:v>0</c:v>
                </c:pt>
                <c:pt idx="139">
                  <c:v>2.0000000000000284</c:v>
                </c:pt>
                <c:pt idx="140">
                  <c:v>1.0000000000000142</c:v>
                </c:pt>
                <c:pt idx="141">
                  <c:v>1.0000000000000142</c:v>
                </c:pt>
                <c:pt idx="142">
                  <c:v>2.0000000000000284</c:v>
                </c:pt>
                <c:pt idx="143">
                  <c:v>2.9999999999999716</c:v>
                </c:pt>
                <c:pt idx="144">
                  <c:v>1.0000000000000142</c:v>
                </c:pt>
                <c:pt idx="145">
                  <c:v>3.999999999999986</c:v>
                </c:pt>
                <c:pt idx="146">
                  <c:v>3.999999999999986</c:v>
                </c:pt>
                <c:pt idx="147">
                  <c:v>3.999999999999986</c:v>
                </c:pt>
                <c:pt idx="148">
                  <c:v>3.999999999999986</c:v>
                </c:pt>
                <c:pt idx="149">
                  <c:v>5</c:v>
                </c:pt>
                <c:pt idx="150">
                  <c:v>5</c:v>
                </c:pt>
                <c:pt idx="151">
                  <c:v>7.000000000000028</c:v>
                </c:pt>
                <c:pt idx="152">
                  <c:v>7.000000000000028</c:v>
                </c:pt>
                <c:pt idx="153">
                  <c:v>5</c:v>
                </c:pt>
                <c:pt idx="154">
                  <c:v>7.000000000000028</c:v>
                </c:pt>
                <c:pt idx="155">
                  <c:v>7.000000000000028</c:v>
                </c:pt>
                <c:pt idx="156">
                  <c:v>6.000000000000014</c:v>
                </c:pt>
                <c:pt idx="157">
                  <c:v>12.000000000000028</c:v>
                </c:pt>
                <c:pt idx="158">
                  <c:v>8.999999999999986</c:v>
                </c:pt>
                <c:pt idx="159">
                  <c:v>7.999999999999972</c:v>
                </c:pt>
                <c:pt idx="160">
                  <c:v>11.000000000000014</c:v>
                </c:pt>
                <c:pt idx="161">
                  <c:v>7.999999999999972</c:v>
                </c:pt>
                <c:pt idx="162">
                  <c:v>7.999999999999972</c:v>
                </c:pt>
                <c:pt idx="163">
                  <c:v>10</c:v>
                </c:pt>
                <c:pt idx="164">
                  <c:v>8.999999999999986</c:v>
                </c:pt>
                <c:pt idx="165">
                  <c:v>13.999999999999986</c:v>
                </c:pt>
                <c:pt idx="166">
                  <c:v>10</c:v>
                </c:pt>
                <c:pt idx="167">
                  <c:v>8.999999999999986</c:v>
                </c:pt>
                <c:pt idx="168">
                  <c:v>7.999999999999972</c:v>
                </c:pt>
                <c:pt idx="169">
                  <c:v>8.999999999999986</c:v>
                </c:pt>
                <c:pt idx="170">
                  <c:v>10</c:v>
                </c:pt>
                <c:pt idx="171">
                  <c:v>7.999999999999972</c:v>
                </c:pt>
                <c:pt idx="172">
                  <c:v>7.999999999999972</c:v>
                </c:pt>
                <c:pt idx="173">
                  <c:v>8.999999999999986</c:v>
                </c:pt>
                <c:pt idx="174">
                  <c:v>8.999999999999986</c:v>
                </c:pt>
                <c:pt idx="175">
                  <c:v>10</c:v>
                </c:pt>
                <c:pt idx="176">
                  <c:v>8.999999999999986</c:v>
                </c:pt>
                <c:pt idx="177">
                  <c:v>10</c:v>
                </c:pt>
                <c:pt idx="178">
                  <c:v>11.000000000000014</c:v>
                </c:pt>
                <c:pt idx="179">
                  <c:v>10</c:v>
                </c:pt>
                <c:pt idx="180">
                  <c:v>10</c:v>
                </c:pt>
                <c:pt idx="181">
                  <c:v>8.999999999999986</c:v>
                </c:pt>
                <c:pt idx="182">
                  <c:v>7.999999999999972</c:v>
                </c:pt>
                <c:pt idx="183">
                  <c:v>8.999999999999986</c:v>
                </c:pt>
                <c:pt idx="184">
                  <c:v>10</c:v>
                </c:pt>
                <c:pt idx="185">
                  <c:v>8.999999999999986</c:v>
                </c:pt>
                <c:pt idx="186">
                  <c:v>8.999999999999986</c:v>
                </c:pt>
                <c:pt idx="187">
                  <c:v>10</c:v>
                </c:pt>
                <c:pt idx="188">
                  <c:v>8.999999999999986</c:v>
                </c:pt>
                <c:pt idx="189">
                  <c:v>7.999999999999972</c:v>
                </c:pt>
                <c:pt idx="190">
                  <c:v>7.999999999999972</c:v>
                </c:pt>
                <c:pt idx="191">
                  <c:v>7.999999999999972</c:v>
                </c:pt>
                <c:pt idx="192">
                  <c:v>7.999999999999972</c:v>
                </c:pt>
                <c:pt idx="193">
                  <c:v>7.999999999999972</c:v>
                </c:pt>
                <c:pt idx="194">
                  <c:v>7.000000000000028</c:v>
                </c:pt>
                <c:pt idx="195">
                  <c:v>7.000000000000028</c:v>
                </c:pt>
                <c:pt idx="196">
                  <c:v>7.000000000000028</c:v>
                </c:pt>
                <c:pt idx="197">
                  <c:v>7.000000000000028</c:v>
                </c:pt>
                <c:pt idx="198">
                  <c:v>7.000000000000028</c:v>
                </c:pt>
                <c:pt idx="199">
                  <c:v>7.999999999999972</c:v>
                </c:pt>
                <c:pt idx="200">
                  <c:v>7.999999999999972</c:v>
                </c:pt>
                <c:pt idx="201">
                  <c:v>7.000000000000028</c:v>
                </c:pt>
                <c:pt idx="202">
                  <c:v>7.000000000000028</c:v>
                </c:pt>
                <c:pt idx="203">
                  <c:v>6.000000000000014</c:v>
                </c:pt>
                <c:pt idx="204">
                  <c:v>5</c:v>
                </c:pt>
                <c:pt idx="205">
                  <c:v>7.000000000000028</c:v>
                </c:pt>
                <c:pt idx="206">
                  <c:v>7.000000000000028</c:v>
                </c:pt>
                <c:pt idx="207">
                  <c:v>5</c:v>
                </c:pt>
                <c:pt idx="208">
                  <c:v>5</c:v>
                </c:pt>
                <c:pt idx="209">
                  <c:v>6.000000000000014</c:v>
                </c:pt>
                <c:pt idx="210">
                  <c:v>5</c:v>
                </c:pt>
                <c:pt idx="211">
                  <c:v>5</c:v>
                </c:pt>
                <c:pt idx="212">
                  <c:v>6.000000000000014</c:v>
                </c:pt>
                <c:pt idx="213">
                  <c:v>2.9999999999999716</c:v>
                </c:pt>
                <c:pt idx="214">
                  <c:v>3.999999999999986</c:v>
                </c:pt>
                <c:pt idx="215">
                  <c:v>2.9999999999999716</c:v>
                </c:pt>
                <c:pt idx="216">
                  <c:v>3.999999999999986</c:v>
                </c:pt>
                <c:pt idx="217">
                  <c:v>5</c:v>
                </c:pt>
                <c:pt idx="218">
                  <c:v>3.999999999999986</c:v>
                </c:pt>
                <c:pt idx="219">
                  <c:v>3.999999999999986</c:v>
                </c:pt>
                <c:pt idx="220">
                  <c:v>5</c:v>
                </c:pt>
                <c:pt idx="221">
                  <c:v>3.999999999999986</c:v>
                </c:pt>
                <c:pt idx="222">
                  <c:v>2.9999999999999716</c:v>
                </c:pt>
                <c:pt idx="223">
                  <c:v>2.9999999999999716</c:v>
                </c:pt>
                <c:pt idx="224">
                  <c:v>2.0000000000000284</c:v>
                </c:pt>
                <c:pt idx="225">
                  <c:v>2.9999999999999716</c:v>
                </c:pt>
                <c:pt idx="226">
                  <c:v>2.9999999999999716</c:v>
                </c:pt>
                <c:pt idx="227">
                  <c:v>3.999999999999986</c:v>
                </c:pt>
                <c:pt idx="228">
                  <c:v>2.9999999999999716</c:v>
                </c:pt>
                <c:pt idx="229">
                  <c:v>1.0000000000000142</c:v>
                </c:pt>
                <c:pt idx="230">
                  <c:v>2.9999999999999716</c:v>
                </c:pt>
                <c:pt idx="231">
                  <c:v>2.0000000000000284</c:v>
                </c:pt>
                <c:pt idx="232">
                  <c:v>2.9999999999999716</c:v>
                </c:pt>
                <c:pt idx="233">
                  <c:v>3.999999999999986</c:v>
                </c:pt>
                <c:pt idx="234">
                  <c:v>2.0000000000000284</c:v>
                </c:pt>
                <c:pt idx="235">
                  <c:v>2.0000000000000284</c:v>
                </c:pt>
                <c:pt idx="236">
                  <c:v>2.0000000000000284</c:v>
                </c:pt>
                <c:pt idx="237">
                  <c:v>2.9999999999999716</c:v>
                </c:pt>
                <c:pt idx="238">
                  <c:v>1.0000000000000142</c:v>
                </c:pt>
                <c:pt idx="239">
                  <c:v>2.0000000000000284</c:v>
                </c:pt>
                <c:pt idx="240">
                  <c:v>5</c:v>
                </c:pt>
                <c:pt idx="241">
                  <c:v>2.0000000000000284</c:v>
                </c:pt>
                <c:pt idx="242">
                  <c:v>2.0000000000000284</c:v>
                </c:pt>
                <c:pt idx="243">
                  <c:v>1.0000000000000142</c:v>
                </c:pt>
                <c:pt idx="244">
                  <c:v>1.0000000000000142</c:v>
                </c:pt>
                <c:pt idx="245">
                  <c:v>2.0000000000000284</c:v>
                </c:pt>
                <c:pt idx="246">
                  <c:v>2.0000000000000284</c:v>
                </c:pt>
                <c:pt idx="247">
                  <c:v>2.9999999999999716</c:v>
                </c:pt>
                <c:pt idx="248">
                  <c:v>1.0000000000000142</c:v>
                </c:pt>
                <c:pt idx="249">
                  <c:v>2.0000000000000284</c:v>
                </c:pt>
                <c:pt idx="250">
                  <c:v>2.9999999999999716</c:v>
                </c:pt>
                <c:pt idx="251">
                  <c:v>2.9999999999999716</c:v>
                </c:pt>
                <c:pt idx="252">
                  <c:v>2.0000000000000284</c:v>
                </c:pt>
                <c:pt idx="253">
                  <c:v>2.0000000000000284</c:v>
                </c:pt>
                <c:pt idx="254">
                  <c:v>1.0000000000000142</c:v>
                </c:pt>
                <c:pt idx="255">
                  <c:v>2.0000000000000284</c:v>
                </c:pt>
                <c:pt idx="256">
                  <c:v>2.0000000000000284</c:v>
                </c:pt>
                <c:pt idx="257">
                  <c:v>2.0000000000000284</c:v>
                </c:pt>
                <c:pt idx="258">
                  <c:v>2.9999999999999716</c:v>
                </c:pt>
                <c:pt idx="259">
                  <c:v>2.0000000000000284</c:v>
                </c:pt>
                <c:pt idx="260">
                  <c:v>3.999999999999986</c:v>
                </c:pt>
                <c:pt idx="261">
                  <c:v>3.999999999999986</c:v>
                </c:pt>
                <c:pt idx="262">
                  <c:v>2.0000000000000284</c:v>
                </c:pt>
                <c:pt idx="263">
                  <c:v>2.0000000000000284</c:v>
                </c:pt>
                <c:pt idx="264">
                  <c:v>2.9999999999999716</c:v>
                </c:pt>
                <c:pt idx="265">
                  <c:v>2.0000000000000284</c:v>
                </c:pt>
                <c:pt idx="266">
                  <c:v>2.9999999999999716</c:v>
                </c:pt>
                <c:pt idx="267">
                  <c:v>0</c:v>
                </c:pt>
                <c:pt idx="268">
                  <c:v>2.9999999999999716</c:v>
                </c:pt>
                <c:pt idx="269">
                  <c:v>0</c:v>
                </c:pt>
                <c:pt idx="270">
                  <c:v>2.9999999999999716</c:v>
                </c:pt>
                <c:pt idx="271">
                  <c:v>1.0000000000000142</c:v>
                </c:pt>
                <c:pt idx="272">
                  <c:v>2.0000000000000284</c:v>
                </c:pt>
                <c:pt idx="273">
                  <c:v>1.0000000000000142</c:v>
                </c:pt>
                <c:pt idx="274">
                  <c:v>2.9999999999999716</c:v>
                </c:pt>
                <c:pt idx="275">
                  <c:v>2.9999999999999716</c:v>
                </c:pt>
                <c:pt idx="276">
                  <c:v>3.999999999999986</c:v>
                </c:pt>
                <c:pt idx="277">
                  <c:v>2.0000000000000284</c:v>
                </c:pt>
                <c:pt idx="278">
                  <c:v>2.9999999999999716</c:v>
                </c:pt>
                <c:pt idx="279">
                  <c:v>2.0000000000000284</c:v>
                </c:pt>
                <c:pt idx="280">
                  <c:v>2.9999999999999716</c:v>
                </c:pt>
                <c:pt idx="281">
                  <c:v>2.0000000000000284</c:v>
                </c:pt>
                <c:pt idx="282">
                  <c:v>3.999999999999986</c:v>
                </c:pt>
                <c:pt idx="283">
                  <c:v>2.9999999999999716</c:v>
                </c:pt>
                <c:pt idx="284">
                  <c:v>2.0000000000000284</c:v>
                </c:pt>
                <c:pt idx="285">
                  <c:v>2.0000000000000284</c:v>
                </c:pt>
                <c:pt idx="286">
                  <c:v>1.0000000000000142</c:v>
                </c:pt>
                <c:pt idx="287">
                  <c:v>2.9999999999999716</c:v>
                </c:pt>
                <c:pt idx="288">
                  <c:v>2.0000000000000284</c:v>
                </c:pt>
                <c:pt idx="289">
                  <c:v>1.0000000000000142</c:v>
                </c:pt>
                <c:pt idx="290">
                  <c:v>2.9999999999999716</c:v>
                </c:pt>
                <c:pt idx="291">
                  <c:v>2.0000000000000284</c:v>
                </c:pt>
                <c:pt idx="292">
                  <c:v>2.9999999999999716</c:v>
                </c:pt>
                <c:pt idx="293">
                  <c:v>2.9999999999999716</c:v>
                </c:pt>
                <c:pt idx="294">
                  <c:v>2.0000000000000284</c:v>
                </c:pt>
                <c:pt idx="295">
                  <c:v>-2.0000000000000284</c:v>
                </c:pt>
                <c:pt idx="296">
                  <c:v>2.9999999999999716</c:v>
                </c:pt>
                <c:pt idx="297">
                  <c:v>2.9999999999999716</c:v>
                </c:pt>
              </c:numCache>
            </c:numRef>
          </c:val>
          <c:smooth val="0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marker val="0"/>
        <c:smooth val="0"/>
        <c:axId val="511721979"/>
        <c:axId val="511721980"/>
      </c:lineChart>
      <c:catAx>
        <c:axId val="511721979"/>
        <c:scaling>
          <c:orientation val="minMax"/>
        </c:scaling>
        <c:delete val="0"/>
        <c:axPos val="b"/>
        <c:title>
          <c:tx>
            <c:rich>
              <a:bodyPr/>
              <a:p>
                <a:pPr>
                  <a:defRPr sz="900" b="1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/>
                  <a:t>Time (minutes)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900" b="1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majorTickMark val="none"/>
        <c:minorTickMark val="out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511721980"/>
        <c:crosses val="autoZero"/>
        <c:auto val="1"/>
        <c:lblAlgn val="ctr"/>
        <c:lblOffset val="100"/>
        <c:tickLblSkip val="23"/>
        <c:tickMarkSkip val="1"/>
        <c:noMultiLvlLbl val="0"/>
      </c:catAx>
      <c:valAx>
        <c:axId val="511721980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5400000" scaled="0"/>
              </a:gradFill>
              <a:round/>
            </a:ln>
          </c:spPr>
        </c:majorGridlines>
        <c:title>
          <c:tx>
            <c:rich>
              <a:bodyPr/>
              <a:p>
                <a:pPr>
                  <a:defRPr/>
                </a:pPr>
                <a:r>
                  <a:rPr/>
                  <a:t>Duty Cycle</a:t>
                </a:r>
                <a:endParaRPr/>
              </a:p>
              <a:p>
                <a:pPr>
                  <a:defRPr/>
                </a:pPr>
                <a:r>
                  <a:rPr/>
                  <a:t>(out of 159)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900" b="1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511721979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t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0" y="16287749"/>
      <a:ext cx="10020299" cy="5429250"/>
    </a:xfrm>
    <a:prstGeom prst="rect">
      <a:avLst/>
    </a:prstGeom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</c:spPr>
  <c:txPr>
    <a:bodyPr/>
    <a:p>
      <a:pPr>
        <a:defRPr sz="900">
          <a:solidFill>
            <a:schemeClr val="dk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 marL="0" marR="0" indent="0">
              <a:defRPr/>
            </a:pPr>
            <a:r>
              <a:rPr/>
              <a:t>PI Raw Output and Duty Cycle over Time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1" cap="none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lineChart>
        <c:grouping val="standard"/>
        <c:varyColors val="0"/>
        <c:ser>
          <c:idx val="0"/>
          <c:order val="0"/>
          <c:tx>
            <c:strRef>
              <c:f>Sheet1!$B$1</c:f>
            </c:strRef>
          </c:tx>
          <c:spPr bwMode="auto">
            <a:prstGeom prst="rect">
              <a:avLst/>
            </a:prstGeom>
            <a:noFill/>
            <a:ln w="12700" cap="rnd" cmpd="sng" algn="ctr">
              <a:solidFill>
                <a:srgbClr val="EE36FF"/>
              </a:solidFill>
              <a:prstDash val="solid"/>
              <a:miter lim="800000"/>
            </a:ln>
          </c:spPr>
          <c:marker>
            <c:symbol val="none"/>
          </c:marker>
          <c:cat>
            <c:multiLvlStrRef>
              <c:f>Sheet1!$F$2:$G$299</c:f>
            </c:multiLvlStrRef>
          </c:cat>
          <c:val>
            <c:numRef>
              <c:f>Sheet1!$B$2:$B$299</c:f>
            </c:numRef>
          </c:val>
          <c:smooth val="0"/>
        </c:ser>
        <c:ser>
          <c:idx val="1"/>
          <c:order val="1"/>
          <c:tx>
            <c:strRef>
              <c:f>Sheet1!$C$1</c:f>
            </c:strRef>
          </c:tx>
          <c:spPr bwMode="auto">
            <a:prstGeom prst="rect">
              <a:avLst/>
            </a:prstGeom>
            <a:noFill/>
            <a:ln w="12700" cap="rnd" cmpd="sng" algn="ctr">
              <a:solidFill>
                <a:schemeClr val="accent5"/>
              </a:solidFill>
              <a:prstDash val="solid"/>
              <a:miter lim="800000"/>
            </a:ln>
          </c:spPr>
          <c:marker>
            <c:symbol val="none"/>
          </c:marker>
          <c:cat>
            <c:multiLvlStrRef>
              <c:f>Sheet1!$F$2:$G$299</c:f>
            </c:multiLvlStrRef>
          </c:cat>
          <c:val>
            <c:numRef>
              <c:f>Sheet1!$C$2:$C$299</c:f>
            </c:numRef>
          </c:val>
          <c:smooth val="0"/>
        </c:ser>
        <c:ser>
          <c:idx val="3"/>
          <c:order val="2"/>
          <c:tx>
            <c:strRef>
              <c:f>Sheet1!$Q$1</c:f>
              <c:strCache>
                <c:ptCount val="1"/>
                <c:pt idx="0">
                  <c:v>Fake I (0.14)</c:v>
                </c:pt>
              </c:strCache>
            </c:strRef>
          </c:tx>
          <c:spPr bwMode="auto">
            <a:prstGeom prst="rect">
              <a:avLst/>
            </a:prstGeom>
            <a:noFill/>
            <a:ln w="12700" cap="rnd" cmpd="sng" algn="ctr">
              <a:solidFill>
                <a:schemeClr val="accent1">
                  <a:lumMod val="60000"/>
                  <a:lumOff val="40000"/>
                </a:schemeClr>
              </a:solidFill>
              <a:prstDash val="solid"/>
              <a:miter lim="800000"/>
            </a:ln>
          </c:spPr>
          <c:marker>
            <c:symbol val="none"/>
          </c:marker>
          <c:cat>
            <c:multiLvlStrRef>
              <c:f>Sheet1!$F$2:$G$299</c:f>
            </c:multiLvlStrRef>
          </c:cat>
          <c:val>
            <c:numRef>
              <c:f>Sheet1!$Q$2:$Q$299</c:f>
              <c:numCache>
                <c:formatCode>General</c:formatCode>
                <c:ptCount val="298"/>
                <c:pt idx="0">
                  <c:v>0</c:v>
                </c:pt>
                <c:pt idx="1">
                  <c:v>1.806</c:v>
                </c:pt>
                <c:pt idx="2">
                  <c:v>3.626</c:v>
                </c:pt>
                <c:pt idx="3">
                  <c:v>5.404</c:v>
                </c:pt>
                <c:pt idx="4">
                  <c:v>7.238</c:v>
                </c:pt>
                <c:pt idx="5">
                  <c:v>9.016</c:v>
                </c:pt>
                <c:pt idx="6">
                  <c:v>10.836</c:v>
                </c:pt>
                <c:pt idx="7">
                  <c:v>12.586</c:v>
                </c:pt>
                <c:pt idx="8">
                  <c:v>14.392</c:v>
                </c:pt>
                <c:pt idx="9">
                  <c:v>16.184</c:v>
                </c:pt>
                <c:pt idx="10">
                  <c:v>17.934</c:v>
                </c:pt>
                <c:pt idx="11">
                  <c:v>19.684</c:v>
                </c:pt>
                <c:pt idx="12">
                  <c:v>21.406</c:v>
                </c:pt>
                <c:pt idx="13">
                  <c:v>23.128</c:v>
                </c:pt>
                <c:pt idx="14">
                  <c:v>24.864</c:v>
                </c:pt>
                <c:pt idx="15">
                  <c:v>26.544</c:v>
                </c:pt>
                <c:pt idx="16">
                  <c:v>28.168</c:v>
                </c:pt>
                <c:pt idx="17">
                  <c:v>29.806</c:v>
                </c:pt>
                <c:pt idx="18">
                  <c:v>31.416</c:v>
                </c:pt>
                <c:pt idx="19">
                  <c:v>32.984</c:v>
                </c:pt>
                <c:pt idx="20">
                  <c:v>34.552</c:v>
                </c:pt>
                <c:pt idx="21">
                  <c:v>36.092</c:v>
                </c:pt>
                <c:pt idx="22">
                  <c:v>37.618</c:v>
                </c:pt>
                <c:pt idx="23">
                  <c:v>39.102</c:v>
                </c:pt>
                <c:pt idx="24">
                  <c:v>40.558</c:v>
                </c:pt>
                <c:pt idx="25">
                  <c:v>42.014</c:v>
                </c:pt>
                <c:pt idx="26">
                  <c:v>43.414</c:v>
                </c:pt>
                <c:pt idx="27">
                  <c:v>44.786</c:v>
                </c:pt>
                <c:pt idx="28">
                  <c:v>46.13</c:v>
                </c:pt>
                <c:pt idx="29">
                  <c:v>47.418</c:v>
                </c:pt>
                <c:pt idx="30">
                  <c:v>48.678</c:v>
                </c:pt>
                <c:pt idx="31">
                  <c:v>49.924</c:v>
                </c:pt>
                <c:pt idx="32">
                  <c:v>51.17</c:v>
                </c:pt>
                <c:pt idx="33">
                  <c:v>52.388</c:v>
                </c:pt>
                <c:pt idx="34">
                  <c:v>53.522</c:v>
                </c:pt>
                <c:pt idx="35">
                  <c:v>54.628</c:v>
                </c:pt>
                <c:pt idx="36">
                  <c:v>55.706</c:v>
                </c:pt>
                <c:pt idx="37">
                  <c:v>56.728</c:v>
                </c:pt>
                <c:pt idx="38">
                  <c:v>57.736</c:v>
                </c:pt>
                <c:pt idx="39">
                  <c:v>58.716</c:v>
                </c:pt>
                <c:pt idx="40">
                  <c:v>59.64</c:v>
                </c:pt>
                <c:pt idx="41">
                  <c:v>60.536</c:v>
                </c:pt>
                <c:pt idx="42">
                  <c:v>61.404</c:v>
                </c:pt>
                <c:pt idx="43">
                  <c:v>62.216</c:v>
                </c:pt>
                <c:pt idx="44">
                  <c:v>63.014</c:v>
                </c:pt>
                <c:pt idx="45">
                  <c:v>63.826</c:v>
                </c:pt>
                <c:pt idx="46">
                  <c:v>64.54</c:v>
                </c:pt>
                <c:pt idx="47">
                  <c:v>65.226</c:v>
                </c:pt>
                <c:pt idx="48">
                  <c:v>65.87</c:v>
                </c:pt>
                <c:pt idx="49">
                  <c:v>66.43</c:v>
                </c:pt>
                <c:pt idx="50">
                  <c:v>67.032</c:v>
                </c:pt>
                <c:pt idx="51">
                  <c:v>67.606</c:v>
                </c:pt>
                <c:pt idx="52">
                  <c:v>68.096</c:v>
                </c:pt>
                <c:pt idx="53">
                  <c:v>68.572</c:v>
                </c:pt>
                <c:pt idx="54">
                  <c:v>69.02</c:v>
                </c:pt>
                <c:pt idx="55">
                  <c:v>69.398</c:v>
                </c:pt>
                <c:pt idx="56">
                  <c:v>69.776</c:v>
                </c:pt>
                <c:pt idx="57">
                  <c:v>70.07</c:v>
                </c:pt>
                <c:pt idx="58">
                  <c:v>70.35</c:v>
                </c:pt>
                <c:pt idx="59">
                  <c:v>70.658</c:v>
                </c:pt>
                <c:pt idx="60">
                  <c:v>70.91</c:v>
                </c:pt>
                <c:pt idx="61">
                  <c:v>71.078</c:v>
                </c:pt>
                <c:pt idx="62">
                  <c:v>71.246</c:v>
                </c:pt>
                <c:pt idx="63">
                  <c:v>71.386</c:v>
                </c:pt>
                <c:pt idx="64">
                  <c:v>71.47</c:v>
                </c:pt>
                <c:pt idx="65">
                  <c:v>71.54</c:v>
                </c:pt>
                <c:pt idx="66">
                  <c:v>71.568</c:v>
                </c:pt>
                <c:pt idx="67">
                  <c:v>71.568</c:v>
                </c:pt>
                <c:pt idx="68">
                  <c:v>71.54</c:v>
                </c:pt>
                <c:pt idx="69">
                  <c:v>71.442</c:v>
                </c:pt>
                <c:pt idx="70">
                  <c:v>71.372</c:v>
                </c:pt>
                <c:pt idx="71">
                  <c:v>71.218</c:v>
                </c:pt>
                <c:pt idx="72">
                  <c:v>71.106</c:v>
                </c:pt>
                <c:pt idx="73">
                  <c:v>70.924</c:v>
                </c:pt>
                <c:pt idx="74">
                  <c:v>70.728</c:v>
                </c:pt>
                <c:pt idx="75">
                  <c:v>70.504</c:v>
                </c:pt>
                <c:pt idx="76">
                  <c:v>70.266</c:v>
                </c:pt>
                <c:pt idx="77">
                  <c:v>70.042</c:v>
                </c:pt>
                <c:pt idx="78">
                  <c:v>69.762</c:v>
                </c:pt>
                <c:pt idx="79">
                  <c:v>69.482</c:v>
                </c:pt>
                <c:pt idx="80">
                  <c:v>69.146</c:v>
                </c:pt>
                <c:pt idx="81">
                  <c:v>68.81</c:v>
                </c:pt>
                <c:pt idx="82">
                  <c:v>68.446</c:v>
                </c:pt>
                <c:pt idx="83">
                  <c:v>68.082</c:v>
                </c:pt>
                <c:pt idx="84">
                  <c:v>67.718</c:v>
                </c:pt>
                <c:pt idx="85">
                  <c:v>67.326</c:v>
                </c:pt>
                <c:pt idx="86">
                  <c:v>66.92</c:v>
                </c:pt>
                <c:pt idx="87">
                  <c:v>66.5</c:v>
                </c:pt>
                <c:pt idx="88">
                  <c:v>66.066</c:v>
                </c:pt>
                <c:pt idx="89">
                  <c:v>65.604</c:v>
                </c:pt>
                <c:pt idx="90">
                  <c:v>65.142</c:v>
                </c:pt>
                <c:pt idx="91">
                  <c:v>64.708</c:v>
                </c:pt>
                <c:pt idx="92">
                  <c:v>64.274</c:v>
                </c:pt>
                <c:pt idx="93">
                  <c:v>63.84</c:v>
                </c:pt>
                <c:pt idx="94">
                  <c:v>63.322</c:v>
                </c:pt>
                <c:pt idx="95">
                  <c:v>62.874</c:v>
                </c:pt>
                <c:pt idx="96">
                  <c:v>62.412</c:v>
                </c:pt>
                <c:pt idx="97">
                  <c:v>61.95</c:v>
                </c:pt>
                <c:pt idx="98">
                  <c:v>61.53</c:v>
                </c:pt>
                <c:pt idx="99">
                  <c:v>61.068</c:v>
                </c:pt>
                <c:pt idx="100">
                  <c:v>60.634</c:v>
                </c:pt>
                <c:pt idx="101">
                  <c:v>60.214</c:v>
                </c:pt>
                <c:pt idx="102">
                  <c:v>59.78</c:v>
                </c:pt>
                <c:pt idx="103">
                  <c:v>59.318</c:v>
                </c:pt>
                <c:pt idx="104">
                  <c:v>58.87</c:v>
                </c:pt>
                <c:pt idx="105">
                  <c:v>58.408</c:v>
                </c:pt>
                <c:pt idx="106">
                  <c:v>57.974</c:v>
                </c:pt>
                <c:pt idx="107">
                  <c:v>57.554</c:v>
                </c:pt>
                <c:pt idx="108">
                  <c:v>57.148</c:v>
                </c:pt>
                <c:pt idx="109">
                  <c:v>56.742</c:v>
                </c:pt>
                <c:pt idx="110">
                  <c:v>56.322</c:v>
                </c:pt>
                <c:pt idx="111">
                  <c:v>55.958</c:v>
                </c:pt>
                <c:pt idx="112">
                  <c:v>55.566</c:v>
                </c:pt>
                <c:pt idx="113">
                  <c:v>55.216</c:v>
                </c:pt>
                <c:pt idx="114">
                  <c:v>54.852</c:v>
                </c:pt>
                <c:pt idx="115">
                  <c:v>54.488</c:v>
                </c:pt>
                <c:pt idx="116">
                  <c:v>54.138</c:v>
                </c:pt>
                <c:pt idx="117">
                  <c:v>53.802</c:v>
                </c:pt>
                <c:pt idx="118">
                  <c:v>53.48</c:v>
                </c:pt>
                <c:pt idx="119">
                  <c:v>53.186</c:v>
                </c:pt>
                <c:pt idx="120">
                  <c:v>52.878</c:v>
                </c:pt>
                <c:pt idx="121">
                  <c:v>52.584</c:v>
                </c:pt>
                <c:pt idx="122">
                  <c:v>52.304</c:v>
                </c:pt>
                <c:pt idx="123">
                  <c:v>52.038</c:v>
                </c:pt>
                <c:pt idx="124">
                  <c:v>51.758</c:v>
                </c:pt>
                <c:pt idx="125">
                  <c:v>51.52</c:v>
                </c:pt>
                <c:pt idx="126">
                  <c:v>51.282</c:v>
                </c:pt>
                <c:pt idx="127">
                  <c:v>51.058</c:v>
                </c:pt>
                <c:pt idx="128">
                  <c:v>50.834</c:v>
                </c:pt>
                <c:pt idx="129">
                  <c:v>50.624</c:v>
                </c:pt>
                <c:pt idx="130">
                  <c:v>50.414</c:v>
                </c:pt>
                <c:pt idx="131">
                  <c:v>50.232</c:v>
                </c:pt>
                <c:pt idx="132">
                  <c:v>50.05</c:v>
                </c:pt>
                <c:pt idx="133">
                  <c:v>49.868</c:v>
                </c:pt>
                <c:pt idx="134">
                  <c:v>49.7</c:v>
                </c:pt>
                <c:pt idx="135">
                  <c:v>49.56</c:v>
                </c:pt>
                <c:pt idx="136">
                  <c:v>49.448</c:v>
                </c:pt>
                <c:pt idx="137">
                  <c:v>49.336</c:v>
                </c:pt>
                <c:pt idx="138">
                  <c:v>49.224</c:v>
                </c:pt>
                <c:pt idx="139">
                  <c:v>49.084</c:v>
                </c:pt>
                <c:pt idx="140">
                  <c:v>49</c:v>
                </c:pt>
                <c:pt idx="141">
                  <c:v>48.916</c:v>
                </c:pt>
                <c:pt idx="142">
                  <c:v>48.832</c:v>
                </c:pt>
                <c:pt idx="143">
                  <c:v>48.748</c:v>
                </c:pt>
                <c:pt idx="144">
                  <c:v>48.692</c:v>
                </c:pt>
                <c:pt idx="145">
                  <c:v>48.65</c:v>
                </c:pt>
                <c:pt idx="146">
                  <c:v>48.608</c:v>
                </c:pt>
                <c:pt idx="147">
                  <c:v>48.594</c:v>
                </c:pt>
                <c:pt idx="148">
                  <c:v>48.552</c:v>
                </c:pt>
                <c:pt idx="149">
                  <c:v>48.524</c:v>
                </c:pt>
                <c:pt idx="150">
                  <c:v>48.468</c:v>
                </c:pt>
                <c:pt idx="151">
                  <c:v>48.468</c:v>
                </c:pt>
                <c:pt idx="152">
                  <c:v>48.468</c:v>
                </c:pt>
                <c:pt idx="153">
                  <c:v>48.482</c:v>
                </c:pt>
                <c:pt idx="154">
                  <c:v>48.496</c:v>
                </c:pt>
                <c:pt idx="155">
                  <c:v>48.51</c:v>
                </c:pt>
                <c:pt idx="156">
                  <c:v>48.552</c:v>
                </c:pt>
                <c:pt idx="157">
                  <c:v>48.58</c:v>
                </c:pt>
                <c:pt idx="158">
                  <c:v>48.608</c:v>
                </c:pt>
                <c:pt idx="159">
                  <c:v>48.65</c:v>
                </c:pt>
                <c:pt idx="160">
                  <c:v>48.692</c:v>
                </c:pt>
                <c:pt idx="161">
                  <c:v>48.748</c:v>
                </c:pt>
                <c:pt idx="162">
                  <c:v>48.818</c:v>
                </c:pt>
                <c:pt idx="163">
                  <c:v>48.902</c:v>
                </c:pt>
                <c:pt idx="164">
                  <c:v>48.958</c:v>
                </c:pt>
                <c:pt idx="165">
                  <c:v>49.042</c:v>
                </c:pt>
                <c:pt idx="166">
                  <c:v>49.098</c:v>
                </c:pt>
                <c:pt idx="167">
                  <c:v>49.168</c:v>
                </c:pt>
                <c:pt idx="168">
                  <c:v>49.266</c:v>
                </c:pt>
                <c:pt idx="169">
                  <c:v>49.35</c:v>
                </c:pt>
                <c:pt idx="170">
                  <c:v>49.406</c:v>
                </c:pt>
                <c:pt idx="171">
                  <c:v>49.504</c:v>
                </c:pt>
                <c:pt idx="172">
                  <c:v>49.672</c:v>
                </c:pt>
                <c:pt idx="173">
                  <c:v>49.756</c:v>
                </c:pt>
                <c:pt idx="174">
                  <c:v>49.84</c:v>
                </c:pt>
                <c:pt idx="175">
                  <c:v>49.952</c:v>
                </c:pt>
                <c:pt idx="176">
                  <c:v>50.064</c:v>
                </c:pt>
                <c:pt idx="177">
                  <c:v>50.162</c:v>
                </c:pt>
                <c:pt idx="178">
                  <c:v>50.26</c:v>
                </c:pt>
                <c:pt idx="179">
                  <c:v>50.372</c:v>
                </c:pt>
                <c:pt idx="180">
                  <c:v>50.498</c:v>
                </c:pt>
                <c:pt idx="181">
                  <c:v>50.582</c:v>
                </c:pt>
                <c:pt idx="182">
                  <c:v>50.68</c:v>
                </c:pt>
                <c:pt idx="183">
                  <c:v>50.792</c:v>
                </c:pt>
                <c:pt idx="184">
                  <c:v>50.932</c:v>
                </c:pt>
                <c:pt idx="185">
                  <c:v>51.044</c:v>
                </c:pt>
                <c:pt idx="186">
                  <c:v>51.142</c:v>
                </c:pt>
                <c:pt idx="187">
                  <c:v>51.282</c:v>
                </c:pt>
                <c:pt idx="188">
                  <c:v>51.394</c:v>
                </c:pt>
                <c:pt idx="189">
                  <c:v>51.478</c:v>
                </c:pt>
                <c:pt idx="190">
                  <c:v>51.59</c:v>
                </c:pt>
                <c:pt idx="191">
                  <c:v>51.688</c:v>
                </c:pt>
                <c:pt idx="192">
                  <c:v>51.814</c:v>
                </c:pt>
                <c:pt idx="193">
                  <c:v>51.898</c:v>
                </c:pt>
                <c:pt idx="194">
                  <c:v>51.982</c:v>
                </c:pt>
                <c:pt idx="195">
                  <c:v>52.08</c:v>
                </c:pt>
                <c:pt idx="196">
                  <c:v>52.22</c:v>
                </c:pt>
                <c:pt idx="197">
                  <c:v>52.374</c:v>
                </c:pt>
                <c:pt idx="198">
                  <c:v>52.472</c:v>
                </c:pt>
                <c:pt idx="199">
                  <c:v>52.64</c:v>
                </c:pt>
                <c:pt idx="200">
                  <c:v>52.71</c:v>
                </c:pt>
                <c:pt idx="201">
                  <c:v>52.794</c:v>
                </c:pt>
                <c:pt idx="202">
                  <c:v>52.906</c:v>
                </c:pt>
                <c:pt idx="203">
                  <c:v>52.976</c:v>
                </c:pt>
                <c:pt idx="204">
                  <c:v>53.06</c:v>
                </c:pt>
                <c:pt idx="205">
                  <c:v>53.144</c:v>
                </c:pt>
                <c:pt idx="206">
                  <c:v>53.228</c:v>
                </c:pt>
                <c:pt idx="207">
                  <c:v>53.312</c:v>
                </c:pt>
                <c:pt idx="208">
                  <c:v>53.396</c:v>
                </c:pt>
                <c:pt idx="209">
                  <c:v>53.452</c:v>
                </c:pt>
                <c:pt idx="210">
                  <c:v>53.508</c:v>
                </c:pt>
                <c:pt idx="211">
                  <c:v>53.564</c:v>
                </c:pt>
                <c:pt idx="212">
                  <c:v>53.634</c:v>
                </c:pt>
                <c:pt idx="213">
                  <c:v>53.704</c:v>
                </c:pt>
                <c:pt idx="214">
                  <c:v>53.774</c:v>
                </c:pt>
                <c:pt idx="215">
                  <c:v>53.83</c:v>
                </c:pt>
                <c:pt idx="216">
                  <c:v>53.886</c:v>
                </c:pt>
                <c:pt idx="217">
                  <c:v>53.928</c:v>
                </c:pt>
                <c:pt idx="218">
                  <c:v>53.984</c:v>
                </c:pt>
                <c:pt idx="219">
                  <c:v>54.026</c:v>
                </c:pt>
                <c:pt idx="220">
                  <c:v>54.068</c:v>
                </c:pt>
                <c:pt idx="221">
                  <c:v>54.11</c:v>
                </c:pt>
                <c:pt idx="222">
                  <c:v>54.152</c:v>
                </c:pt>
                <c:pt idx="223">
                  <c:v>54.194</c:v>
                </c:pt>
                <c:pt idx="224">
                  <c:v>54.222</c:v>
                </c:pt>
                <c:pt idx="225">
                  <c:v>54.264</c:v>
                </c:pt>
                <c:pt idx="226">
                  <c:v>54.292</c:v>
                </c:pt>
                <c:pt idx="227">
                  <c:v>54.306</c:v>
                </c:pt>
                <c:pt idx="228">
                  <c:v>54.348</c:v>
                </c:pt>
                <c:pt idx="229">
                  <c:v>54.348</c:v>
                </c:pt>
                <c:pt idx="230">
                  <c:v>54.376</c:v>
                </c:pt>
                <c:pt idx="231">
                  <c:v>54.362</c:v>
                </c:pt>
                <c:pt idx="232">
                  <c:v>54.376</c:v>
                </c:pt>
                <c:pt idx="233">
                  <c:v>54.376</c:v>
                </c:pt>
                <c:pt idx="234">
                  <c:v>54.39</c:v>
                </c:pt>
                <c:pt idx="235">
                  <c:v>54.418</c:v>
                </c:pt>
                <c:pt idx="236">
                  <c:v>54.432</c:v>
                </c:pt>
                <c:pt idx="237">
                  <c:v>54.404</c:v>
                </c:pt>
                <c:pt idx="238">
                  <c:v>54.404</c:v>
                </c:pt>
                <c:pt idx="239">
                  <c:v>54.404</c:v>
                </c:pt>
                <c:pt idx="240">
                  <c:v>54.418</c:v>
                </c:pt>
                <c:pt idx="241">
                  <c:v>54.404</c:v>
                </c:pt>
                <c:pt idx="242">
                  <c:v>54.39</c:v>
                </c:pt>
                <c:pt idx="243">
                  <c:v>54.362</c:v>
                </c:pt>
                <c:pt idx="244">
                  <c:v>54.376</c:v>
                </c:pt>
                <c:pt idx="245">
                  <c:v>54.348</c:v>
                </c:pt>
                <c:pt idx="246">
                  <c:v>54.348</c:v>
                </c:pt>
                <c:pt idx="247">
                  <c:v>54.32</c:v>
                </c:pt>
                <c:pt idx="248">
                  <c:v>54.292</c:v>
                </c:pt>
                <c:pt idx="249">
                  <c:v>54.278</c:v>
                </c:pt>
                <c:pt idx="250">
                  <c:v>54.264</c:v>
                </c:pt>
                <c:pt idx="251">
                  <c:v>54.278</c:v>
                </c:pt>
                <c:pt idx="252">
                  <c:v>54.292</c:v>
                </c:pt>
                <c:pt idx="253">
                  <c:v>54.306</c:v>
                </c:pt>
                <c:pt idx="254">
                  <c:v>54.292</c:v>
                </c:pt>
                <c:pt idx="255">
                  <c:v>54.278</c:v>
                </c:pt>
                <c:pt idx="256">
                  <c:v>54.208</c:v>
                </c:pt>
                <c:pt idx="257">
                  <c:v>54.194</c:v>
                </c:pt>
                <c:pt idx="258">
                  <c:v>54.194</c:v>
                </c:pt>
                <c:pt idx="259">
                  <c:v>54.18</c:v>
                </c:pt>
                <c:pt idx="260">
                  <c:v>54.18</c:v>
                </c:pt>
                <c:pt idx="261">
                  <c:v>54.18</c:v>
                </c:pt>
                <c:pt idx="262">
                  <c:v>54.138</c:v>
                </c:pt>
                <c:pt idx="263">
                  <c:v>54.11</c:v>
                </c:pt>
                <c:pt idx="264">
                  <c:v>54.096</c:v>
                </c:pt>
                <c:pt idx="265">
                  <c:v>54.082</c:v>
                </c:pt>
                <c:pt idx="266">
                  <c:v>54.096</c:v>
                </c:pt>
                <c:pt idx="267">
                  <c:v>54.11</c:v>
                </c:pt>
                <c:pt idx="268">
                  <c:v>54.096</c:v>
                </c:pt>
                <c:pt idx="269">
                  <c:v>54.096</c:v>
                </c:pt>
                <c:pt idx="270">
                  <c:v>54.124</c:v>
                </c:pt>
                <c:pt idx="271">
                  <c:v>54.096</c:v>
                </c:pt>
                <c:pt idx="272">
                  <c:v>54.082</c:v>
                </c:pt>
                <c:pt idx="273">
                  <c:v>54.096</c:v>
                </c:pt>
                <c:pt idx="274">
                  <c:v>54.11</c:v>
                </c:pt>
                <c:pt idx="275">
                  <c:v>54.11</c:v>
                </c:pt>
                <c:pt idx="276">
                  <c:v>54.096</c:v>
                </c:pt>
                <c:pt idx="277">
                  <c:v>54.082</c:v>
                </c:pt>
                <c:pt idx="278">
                  <c:v>54.096</c:v>
                </c:pt>
                <c:pt idx="279">
                  <c:v>54.138</c:v>
                </c:pt>
                <c:pt idx="280">
                  <c:v>54.138</c:v>
                </c:pt>
                <c:pt idx="281">
                  <c:v>54.138</c:v>
                </c:pt>
                <c:pt idx="282">
                  <c:v>54.138</c:v>
                </c:pt>
                <c:pt idx="283">
                  <c:v>54.138</c:v>
                </c:pt>
                <c:pt idx="284">
                  <c:v>54.138</c:v>
                </c:pt>
                <c:pt idx="285">
                  <c:v>54.11</c:v>
                </c:pt>
                <c:pt idx="286">
                  <c:v>54.11</c:v>
                </c:pt>
              </c:numCache>
            </c:numRef>
          </c:val>
          <c:smooth val="0"/>
        </c:ser>
        <c:ser>
          <c:idx val="2"/>
          <c:order val="3"/>
          <c:tx>
            <c:strRef>
              <c:f>Sheet1!$G$1</c:f>
            </c:strRef>
          </c:tx>
          <c:spPr bwMode="auto">
            <a:prstGeom prst="rect">
              <a:avLst/>
            </a:prstGeom>
            <a:noFill/>
            <a:ln w="12700" cap="rnd" cmpd="sng" algn="ctr">
              <a:solidFill>
                <a:schemeClr val="bg1">
                  <a:lumMod val="95000"/>
                </a:schemeClr>
              </a:solidFill>
              <a:prstDash val="solid"/>
              <a:miter lim="800000"/>
            </a:ln>
          </c:spPr>
          <c:marker>
            <c:symbol val="none"/>
          </c:marker>
          <c:cat>
            <c:multiLvlStrRef>
              <c:f>Sheet1!$F$2:$G$299</c:f>
            </c:multiLvlStrRef>
          </c:cat>
          <c:val>
            <c:numRef>
              <c:f>Sheet1!$G$2:$G$299</c:f>
            </c:numRef>
          </c:val>
          <c:smooth val="0"/>
        </c:ser>
        <c:dLbls>
          <c:showBubbleSize val="0"/>
          <c:showCatName val="0"/>
          <c:showLegendKey val="0"/>
          <c:showPercent val="0"/>
          <c:showSerName val="0"/>
          <c:showVal val="0"/>
        </c:dLbls>
        <c:marker val="0"/>
        <c:smooth val="0"/>
        <c:axId val="511721983"/>
        <c:axId val="511721984"/>
      </c:lineChart>
      <c:catAx>
        <c:axId val="511721983"/>
        <c:scaling>
          <c:orientation val="minMax"/>
        </c:scaling>
        <c:delete val="0"/>
        <c:axPos val="b"/>
        <c:title>
          <c:tx>
            <c:rich>
              <a:bodyPr/>
              <a:p>
                <a:pPr>
                  <a:defRPr/>
                </a:pPr>
                <a:r>
                  <a:rPr/>
                  <a:t>Time (minutes)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900" b="1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majorTickMark val="none"/>
        <c:minorTickMark val="out"/>
        <c:tickLblPos val="nextTo"/>
        <c:spPr bwMode="auto">
          <a:prstGeom prst="rect">
            <a:avLst/>
          </a:prstGeom>
          <a:noFill/>
        </c:spPr>
        <c:txPr>
          <a:bodyPr/>
          <a:p>
            <a:pPr>
              <a:defRPr sz="90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511721984"/>
        <c:crosses val="autoZero"/>
        <c:auto val="1"/>
        <c:lblAlgn val="ctr"/>
        <c:lblOffset val="100"/>
        <c:tickLblSkip val="23"/>
        <c:tickMarkSkip val="1"/>
        <c:noMultiLvlLbl val="0"/>
      </c:catAx>
      <c:valAx>
        <c:axId val="511721984"/>
        <c:scaling>
          <c:orientation val="minMax"/>
          <c:min val="-100.000000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5400000" scaled="0"/>
              </a:gradFill>
              <a:round/>
            </a:ln>
          </c:spPr>
        </c:majorGridlines>
        <c:title>
          <c:tx>
            <c:rich>
              <a:bodyPr/>
              <a:p>
                <a:pPr>
                  <a:defRPr/>
                </a:pPr>
                <a:r>
                  <a:rPr/>
                  <a:t>Output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900" b="1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511721983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t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 rot="0">
      <a:off x="0" y="5438773"/>
      <a:ext cx="10020298" cy="5410199"/>
    </a:xfrm>
    <a:prstGeom prst="rect">
      <a:avLst/>
    </a:prstGeom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</c:spPr>
  <c:txPr>
    <a:bodyPr/>
    <a:p>
      <a:pPr>
        <a:defRPr sz="900">
          <a:solidFill>
            <a:schemeClr val="dk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/>
  </cs:axisTitle>
  <cs:categoryAxis>
    <cs:lnRef idx="0"/>
    <cs:fillRef idx="0"/>
    <cs:effectRef idx="0"/>
    <cs:fontRef idx="minor">
      <a:schemeClr val="lt1">
        <a:lumMod val="75000"/>
      </a:schemeClr>
    </cs:fontRef>
    <cs:defRPr sz="900"/>
  </cs:categoryAxis>
  <cs:chartArea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>
        <a:lumMod val="75000"/>
      </a:schemeClr>
    </cs:fontRef>
    <cs:defRPr sz="900"/>
  </cs:dataLabel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 bwMode="auto">
      <a:prstGeom prst="rect">
        <a:avLst/>
      </a:prstGeom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 bwMode="auto">
      <a:prstGeom prst="rect">
        <a:avLst/>
      </a:prstGeom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 bwMode="auto">
      <a:prstGeom prst="rect">
        <a:avLst/>
      </a:prstGeom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 bwMode="auto">
      <a:prstGeom prst="rect">
        <a:avLst/>
      </a:prstGeom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 bwMode="auto">
      <a:prstGeom prst="rect">
        <a:avLst/>
      </a:prstGeom>
      <a:ln w="9525">
        <a:solidFill>
          <a:schemeClr val="dk1">
            <a:lumMod val="50000"/>
            <a:lumOff val="50000"/>
          </a:schemeClr>
        </a:solidFill>
      </a:ln>
    </cs:spPr>
    <cs:defRPr sz="900"/>
  </cs:dataTable>
  <cs:downBar>
    <cs:lnRef idx="0"/>
    <cs:fillRef idx="0"/>
    <cs:effectRef idx="0"/>
    <cs:fontRef idx="minor">
      <a:schemeClr val="lt1"/>
    </cs:fontRef>
    <cs:spPr bwMode="auto">
      <a:prstGeom prst="rect">
        <a:avLst/>
      </a:prstGeom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 bwMode="auto">
      <a:prstGeom prst="rect">
        <a:avLst/>
      </a:prstGeom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 bwMode="auto">
      <a:prstGeom prst="rect">
        <a:avLst/>
      </a:prstGeom>
      <a:ln w="9525" cap="flat" cmpd="sng" algn="ctr">
        <a:gradFill>
          <a:gsLst>
            <a:gs pos="0">
              <a:schemeClr val="dk1">
                <a:lumMod val="65000"/>
                <a:lumOff val="35000"/>
                <a:alpha val="25000"/>
              </a:schemeClr>
            </a:gs>
            <a:gs pos="100000">
              <a:schemeClr val="dk1">
                <a:lumMod val="75000"/>
                <a:lumOff val="2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/>
  </cs:seriesAxis>
  <cs:series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cap="none"/>
  </cs:title>
  <cs:trendline>
    <cs:lnRef idx="0">
      <cs:styleClr val="auto"/>
    </cs:lnRef>
    <cs:fillRef idx="0"/>
    <cs:effectRef idx="0"/>
    <cs:fontRef idx="minor">
      <a:schemeClr val="lt1"/>
    </cs:fontRef>
    <cs:spPr bwMode="auto">
      <a:prstGeom prst="rect">
        <a:avLst/>
      </a:prstGeom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/>
  </cs:valueAxis>
  <cs:wall>
    <cs:lnRef idx="0"/>
    <cs:fillRef idx="0"/>
    <cs:effectRef idx="0"/>
    <cs:fontRef idx="minor">
      <a:schemeClr val="dk1"/>
    </cs:fontRef>
  </cs:wall>
  <cs:dataPointMarkerLayout symbol="circle" size="4"/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/>
  </cs:axisTitle>
  <cs:categoryAxis>
    <cs:lnRef idx="0"/>
    <cs:fillRef idx="0"/>
    <cs:effectRef idx="0"/>
    <cs:fontRef idx="minor">
      <a:schemeClr val="lt1">
        <a:lumMod val="75000"/>
      </a:schemeClr>
    </cs:fontRef>
    <cs:defRPr sz="900"/>
  </cs:categoryAxis>
  <cs:chartArea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>
        <a:lumMod val="75000"/>
      </a:schemeClr>
    </cs:fontRef>
    <cs:defRPr sz="900"/>
  </cs:dataLabel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 bwMode="auto">
      <a:prstGeom prst="rect">
        <a:avLst/>
      </a:prstGeom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 bwMode="auto">
      <a:prstGeom prst="rect">
        <a:avLst/>
      </a:prstGeom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 bwMode="auto">
      <a:prstGeom prst="rect">
        <a:avLst/>
      </a:prstGeom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 bwMode="auto">
      <a:prstGeom prst="rect">
        <a:avLst/>
      </a:prstGeom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 bwMode="auto">
      <a:prstGeom prst="rect">
        <a:avLst/>
      </a:prstGeom>
      <a:ln w="9525">
        <a:solidFill>
          <a:schemeClr val="dk1">
            <a:lumMod val="50000"/>
            <a:lumOff val="50000"/>
          </a:schemeClr>
        </a:solidFill>
      </a:ln>
    </cs:spPr>
    <cs:defRPr sz="900"/>
  </cs:dataTable>
  <cs:downBar>
    <cs:lnRef idx="0"/>
    <cs:fillRef idx="0"/>
    <cs:effectRef idx="0"/>
    <cs:fontRef idx="minor">
      <a:schemeClr val="lt1"/>
    </cs:fontRef>
    <cs:spPr bwMode="auto">
      <a:prstGeom prst="rect">
        <a:avLst/>
      </a:prstGeom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 bwMode="auto">
      <a:prstGeom prst="rect">
        <a:avLst/>
      </a:prstGeom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 bwMode="auto">
      <a:prstGeom prst="rect">
        <a:avLst/>
      </a:prstGeom>
      <a:ln w="9525" cap="flat" cmpd="sng" algn="ctr">
        <a:gradFill>
          <a:gsLst>
            <a:gs pos="0">
              <a:schemeClr val="dk1">
                <a:lumMod val="65000"/>
                <a:lumOff val="35000"/>
                <a:alpha val="25000"/>
              </a:schemeClr>
            </a:gs>
            <a:gs pos="100000">
              <a:schemeClr val="dk1">
                <a:lumMod val="75000"/>
                <a:lumOff val="2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/>
  </cs:seriesAxis>
  <cs:series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cap="none"/>
  </cs:title>
  <cs:trendline>
    <cs:lnRef idx="0">
      <cs:styleClr val="auto"/>
    </cs:lnRef>
    <cs:fillRef idx="0"/>
    <cs:effectRef idx="0"/>
    <cs:fontRef idx="minor">
      <a:schemeClr val="lt1"/>
    </cs:fontRef>
    <cs:spPr bwMode="auto">
      <a:prstGeom prst="rect">
        <a:avLst/>
      </a:prstGeom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/>
  </cs:valueAxis>
  <cs:wall>
    <cs:lnRef idx="0"/>
    <cs:fillRef idx="0"/>
    <cs:effectRef idx="0"/>
    <cs:fontRef idx="minor">
      <a:schemeClr val="dk1"/>
    </cs:fontRef>
  </cs:wall>
  <cs:dataPointMarkerLayout symbol="circle" size="4"/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/>
  </cs:axisTitle>
  <cs:categoryAxis>
    <cs:lnRef idx="0"/>
    <cs:fillRef idx="0"/>
    <cs:effectRef idx="0"/>
    <cs:fontRef idx="minor">
      <a:schemeClr val="lt1">
        <a:lumMod val="75000"/>
      </a:schemeClr>
    </cs:fontRef>
    <cs:defRPr sz="900"/>
  </cs:categoryAxis>
  <cs:chartArea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>
        <a:lumMod val="75000"/>
      </a:schemeClr>
    </cs:fontRef>
    <cs:defRPr sz="900"/>
  </cs:dataLabel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 bwMode="auto">
      <a:prstGeom prst="rect">
        <a:avLst/>
      </a:prstGeom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 bwMode="auto">
      <a:prstGeom prst="rect">
        <a:avLst/>
      </a:prstGeom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 bwMode="auto">
      <a:prstGeom prst="rect">
        <a:avLst/>
      </a:prstGeom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 bwMode="auto">
      <a:prstGeom prst="rect">
        <a:avLst/>
      </a:prstGeom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 bwMode="auto">
      <a:prstGeom prst="rect">
        <a:avLst/>
      </a:prstGeom>
      <a:ln w="9525">
        <a:solidFill>
          <a:schemeClr val="dk1">
            <a:lumMod val="50000"/>
            <a:lumOff val="50000"/>
          </a:schemeClr>
        </a:solidFill>
      </a:ln>
    </cs:spPr>
    <cs:defRPr sz="900"/>
  </cs:dataTable>
  <cs:downBar>
    <cs:lnRef idx="0"/>
    <cs:fillRef idx="0"/>
    <cs:effectRef idx="0"/>
    <cs:fontRef idx="minor">
      <a:schemeClr val="lt1"/>
    </cs:fontRef>
    <cs:spPr bwMode="auto">
      <a:prstGeom prst="rect">
        <a:avLst/>
      </a:prstGeom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 bwMode="auto">
      <a:prstGeom prst="rect">
        <a:avLst/>
      </a:prstGeom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 bwMode="auto">
      <a:prstGeom prst="rect">
        <a:avLst/>
      </a:prstGeom>
      <a:ln w="9525" cap="flat" cmpd="sng" algn="ctr">
        <a:gradFill>
          <a:gsLst>
            <a:gs pos="0">
              <a:schemeClr val="dk1">
                <a:lumMod val="65000"/>
                <a:lumOff val="35000"/>
                <a:alpha val="25000"/>
              </a:schemeClr>
            </a:gs>
            <a:gs pos="100000">
              <a:schemeClr val="dk1">
                <a:lumMod val="75000"/>
                <a:lumOff val="2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/>
  </cs:seriesAxis>
  <cs:series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cap="none"/>
  </cs:title>
  <cs:trendline>
    <cs:lnRef idx="0">
      <cs:styleClr val="auto"/>
    </cs:lnRef>
    <cs:fillRef idx="0"/>
    <cs:effectRef idx="0"/>
    <cs:fontRef idx="minor">
      <a:schemeClr val="lt1"/>
    </cs:fontRef>
    <cs:spPr bwMode="auto">
      <a:prstGeom prst="rect">
        <a:avLst/>
      </a:prstGeom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/>
  </cs:valueAxis>
  <cs:wall>
    <cs:lnRef idx="0"/>
    <cs:fillRef idx="0"/>
    <cs:effectRef idx="0"/>
    <cs:fontRef idx="minor">
      <a:schemeClr val="dk1"/>
    </cs:fontRef>
  </cs:wall>
  <cs:dataPointMarkerLayout symbol="circle" size="4"/>
</cs:chartStyle>
</file>

<file path=xl/charts/style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/>
  </cs:axisTitle>
  <cs:categoryAxis>
    <cs:lnRef idx="0"/>
    <cs:fillRef idx="0"/>
    <cs:effectRef idx="0"/>
    <cs:fontRef idx="minor">
      <a:schemeClr val="lt1">
        <a:lumMod val="75000"/>
      </a:schemeClr>
    </cs:fontRef>
    <cs:defRPr sz="900"/>
  </cs:categoryAxis>
  <cs:chartArea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>
        <a:lumMod val="75000"/>
      </a:schemeClr>
    </cs:fontRef>
    <cs:defRPr sz="900"/>
  </cs:dataLabel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 bwMode="auto">
      <a:prstGeom prst="rect">
        <a:avLst/>
      </a:prstGeom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 bwMode="auto">
      <a:prstGeom prst="rect">
        <a:avLst/>
      </a:prstGeom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 bwMode="auto">
      <a:prstGeom prst="rect">
        <a:avLst/>
      </a:prstGeom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 bwMode="auto">
      <a:prstGeom prst="rect">
        <a:avLst/>
      </a:prstGeom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 bwMode="auto">
      <a:prstGeom prst="rect">
        <a:avLst/>
      </a:prstGeom>
      <a:ln w="9525">
        <a:solidFill>
          <a:schemeClr val="dk1">
            <a:lumMod val="50000"/>
            <a:lumOff val="50000"/>
          </a:schemeClr>
        </a:solidFill>
      </a:ln>
    </cs:spPr>
    <cs:defRPr sz="900"/>
  </cs:dataTable>
  <cs:downBar>
    <cs:lnRef idx="0"/>
    <cs:fillRef idx="0"/>
    <cs:effectRef idx="0"/>
    <cs:fontRef idx="minor">
      <a:schemeClr val="lt1"/>
    </cs:fontRef>
    <cs:spPr bwMode="auto">
      <a:prstGeom prst="rect">
        <a:avLst/>
      </a:prstGeom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 bwMode="auto">
      <a:prstGeom prst="rect">
        <a:avLst/>
      </a:prstGeom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 bwMode="auto">
      <a:prstGeom prst="rect">
        <a:avLst/>
      </a:prstGeom>
      <a:ln w="9525" cap="flat" cmpd="sng" algn="ctr">
        <a:gradFill>
          <a:gsLst>
            <a:gs pos="0">
              <a:schemeClr val="dk1">
                <a:lumMod val="65000"/>
                <a:lumOff val="35000"/>
                <a:alpha val="25000"/>
              </a:schemeClr>
            </a:gs>
            <a:gs pos="100000">
              <a:schemeClr val="dk1">
                <a:lumMod val="75000"/>
                <a:lumOff val="2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/>
  </cs:seriesAxis>
  <cs:seriesLine>
    <cs:lnRef idx="0"/>
    <cs:fillRef idx="0"/>
    <cs:effectRef idx="0"/>
    <cs:fontRef idx="minor">
      <a:schemeClr val="dk1"/>
    </cs:fontRef>
    <cs:spPr bwMode="auto">
      <a:prstGeom prst="rect">
        <a:avLst/>
      </a:prstGeom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cap="none"/>
  </cs:title>
  <cs:trendline>
    <cs:lnRef idx="0">
      <cs:styleClr val="auto"/>
    </cs:lnRef>
    <cs:fillRef idx="0"/>
    <cs:effectRef idx="0"/>
    <cs:fontRef idx="minor">
      <a:schemeClr val="lt1"/>
    </cs:fontRef>
    <cs:spPr bwMode="auto">
      <a:prstGeom prst="rect">
        <a:avLst/>
      </a:prstGeom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/>
  </cs:valueAxis>
  <cs:wall>
    <cs:lnRef idx="0"/>
    <cs:fillRef idx="0"/>
    <cs:effectRef idx="0"/>
    <cs:fontRef idx="minor">
      <a:schemeClr val="dk1"/>
    </cs:fontRef>
  </cs:wall>
  <cs:dataPointMarkerLayout symbol="circle" size="4"/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Relationship Id="rId2" Type="http://schemas.openxmlformats.org/officeDocument/2006/relationships/chart" Target="../charts/chart2.xml" /><Relationship Id="rId3" Type="http://schemas.openxmlformats.org/officeDocument/2006/relationships/chart" Target="../charts/chart3.xml" /><Relationship Id="rId4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0</xdr:colOff>
      <xdr:row>0</xdr:row>
      <xdr:rowOff>9524</xdr:rowOff>
    </xdr:from>
    <xdr:to>
      <xdr:col>12</xdr:col>
      <xdr:colOff>247648</xdr:colOff>
      <xdr:row>30</xdr:row>
      <xdr:rowOff>9523</xdr:rowOff>
    </xdr:to>
    <xdr:graphicFrame>
      <xdr:nvGraphicFramePr>
        <xdr:cNvPr id="1572347158" name=""/>
        <xdr:cNvGraphicFramePr>
          <a:graphicFrameLocks xmlns:a="http://schemas.openxmlformats.org/drawingml/2006/main"/>
        </xdr:cNvGraphicFramePr>
      </xdr:nvGraphicFramePr>
      <xdr:xfrm rot="0">
        <a:off x="0" y="9524"/>
        <a:ext cx="10020299" cy="5429249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twoCell">
    <xdr:from>
      <xdr:col>0</xdr:col>
      <xdr:colOff>0</xdr:colOff>
      <xdr:row>59</xdr:row>
      <xdr:rowOff>171449</xdr:rowOff>
    </xdr:from>
    <xdr:to>
      <xdr:col>12</xdr:col>
      <xdr:colOff>247649</xdr:colOff>
      <xdr:row>89</xdr:row>
      <xdr:rowOff>180974</xdr:rowOff>
    </xdr:to>
    <xdr:graphicFrame>
      <xdr:nvGraphicFramePr>
        <xdr:cNvPr id="1666120597" name=""/>
        <xdr:cNvGraphicFramePr>
          <a:graphicFrameLocks xmlns:a="http://schemas.openxmlformats.org/drawingml/2006/main"/>
        </xdr:cNvGraphicFramePr>
      </xdr:nvGraphicFramePr>
      <xdr:xfrm rot="0">
        <a:off x="0" y="10848974"/>
        <a:ext cx="10020299" cy="5438774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twoCell">
    <xdr:from>
      <xdr:col>0</xdr:col>
      <xdr:colOff>0</xdr:colOff>
      <xdr:row>89</xdr:row>
      <xdr:rowOff>180974</xdr:rowOff>
    </xdr:from>
    <xdr:to>
      <xdr:col>12</xdr:col>
      <xdr:colOff>247649</xdr:colOff>
      <xdr:row>119</xdr:row>
      <xdr:rowOff>180974</xdr:rowOff>
    </xdr:to>
    <xdr:graphicFrame>
      <xdr:nvGraphicFramePr>
        <xdr:cNvPr id="159453125" name=""/>
        <xdr:cNvGraphicFramePr>
          <a:graphicFrameLocks xmlns:a="http://schemas.openxmlformats.org/drawingml/2006/main"/>
        </xdr:cNvGraphicFramePr>
      </xdr:nvGraphicFramePr>
      <xdr:xfrm rot="0">
        <a:off x="0" y="16287749"/>
        <a:ext cx="10020299" cy="54292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twoCell">
    <xdr:from>
      <xdr:col>0</xdr:col>
      <xdr:colOff>0</xdr:colOff>
      <xdr:row>30</xdr:row>
      <xdr:rowOff>9523</xdr:rowOff>
    </xdr:from>
    <xdr:to>
      <xdr:col>12</xdr:col>
      <xdr:colOff>247648</xdr:colOff>
      <xdr:row>59</xdr:row>
      <xdr:rowOff>171447</xdr:rowOff>
    </xdr:to>
    <xdr:graphicFrame>
      <xdr:nvGraphicFramePr>
        <xdr:cNvPr id="809221937" name=""/>
        <xdr:cNvGraphicFramePr>
          <a:graphicFrameLocks xmlns:a="http://schemas.openxmlformats.org/drawingml/2006/main"/>
        </xdr:cNvGraphicFramePr>
      </xdr:nvGraphicFramePr>
      <xdr:xfrm rot="0">
        <a:off x="0" y="5438773"/>
        <a:ext cx="10020298" cy="5410199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2" zoomScale="100" workbookViewId="0">
      <selection activeCell="A1" activeCellId="0" sqref="A1"/>
    </sheetView>
  </sheetViews>
  <sheetFormatPr defaultRowHeight="14.25"/>
  <cols>
    <col bestFit="1" min="1" max="1" width="9.00390625"/>
    <col bestFit="1" min="2" max="2" width="13.57421875"/>
    <col bestFit="1" min="3" max="3" width="13.8515625"/>
    <col bestFit="1" min="4" max="4" width="15.140625"/>
    <col bestFit="1" min="5" max="5" width="14.57421875"/>
    <col bestFit="1" min="6" max="6" width="13.57421875"/>
    <col bestFit="1" min="7" max="7" width="12.7109375"/>
    <col bestFit="1" min="8" max="8" width="10.7109375"/>
    <col bestFit="1" min="9" max="9" width="9.57421875"/>
    <col bestFit="1" min="10" max="10" width="7.7109375"/>
    <col bestFit="1" min="11" max="11" width="12.57421875"/>
    <col bestFit="1" min="12" max="14" width="13.57421875"/>
    <col bestFit="1" min="15" max="15" width="11.421875"/>
    <col bestFit="1" min="16" max="16" width="11.8515625"/>
    <col bestFit="1" customWidth="1" min="17" max="17" width="11.8515625"/>
    <col bestFit="1" min="18" max="18" width="10.8515625"/>
  </cols>
  <sheetData>
    <row r="1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Q1" s="4" t="s">
        <v>15</v>
      </c>
    </row>
    <row r="2" ht="14.25">
      <c r="A2">
        <v>6312</v>
      </c>
      <c r="B2">
        <v>262.67000000000002</v>
      </c>
      <c r="C2">
        <v>1.8400000000000001</v>
      </c>
      <c r="D2">
        <v>159</v>
      </c>
      <c r="E2">
        <v>24.300000000000001</v>
      </c>
      <c r="F2" s="3">
        <f t="shared" ref="F2:F9" si="0">ROUND(A2/60000,1)</f>
        <v>0.10000000000000001</v>
      </c>
      <c r="G2" s="3">
        <f t="shared" ref="G2:G9" si="1">ROUND((D2/159)*100,1)</f>
        <v>100</v>
      </c>
      <c r="H2" s="3">
        <v>37.5</v>
      </c>
      <c r="I2" s="3">
        <f t="shared" ref="I2:I9" si="2">ROUND((D2/159)*44,1)</f>
        <v>44</v>
      </c>
      <c r="J2" s="3">
        <f t="shared" ref="J2:J9" si="3">37.5-E2</f>
        <v>13.199999999999999</v>
      </c>
      <c r="K2" s="3">
        <f t="shared" ref="K2:K9" si="4">J2*18</f>
        <v>237.59999999999999</v>
      </c>
      <c r="L2" s="3">
        <f t="shared" ref="L2:L9" si="5">J2*16</f>
        <v>211.19999999999999</v>
      </c>
      <c r="M2" s="3">
        <f t="shared" ref="M2:M9" si="6">J2*14</f>
        <v>184.79999999999998</v>
      </c>
      <c r="N2" s="3">
        <f t="shared" ref="N2:N9" si="7">J2*12</f>
        <v>158.39999999999998</v>
      </c>
      <c r="O2" s="3">
        <f t="shared" ref="O2:O9" si="8">J2*10</f>
        <v>132</v>
      </c>
      <c r="P2" s="3"/>
      <c r="Q2" s="3">
        <v>0</v>
      </c>
      <c r="R2" s="3"/>
    </row>
    <row r="3" ht="14.25">
      <c r="A3">
        <v>12615</v>
      </c>
      <c r="B3">
        <v>262</v>
      </c>
      <c r="C3">
        <v>3.6699999999999999</v>
      </c>
      <c r="D3">
        <v>159</v>
      </c>
      <c r="E3">
        <v>24.600000000000001</v>
      </c>
      <c r="F3" s="3">
        <f t="shared" si="0"/>
        <v>0.20000000000000001</v>
      </c>
      <c r="G3" s="3">
        <f t="shared" si="1"/>
        <v>100</v>
      </c>
      <c r="H3" s="3">
        <v>37.5</v>
      </c>
      <c r="I3" s="3">
        <f t="shared" si="2"/>
        <v>44</v>
      </c>
      <c r="J3" s="3">
        <f t="shared" si="3"/>
        <v>12.899999999999999</v>
      </c>
      <c r="K3" s="3">
        <f t="shared" si="4"/>
        <v>232.19999999999999</v>
      </c>
      <c r="L3" s="3">
        <f t="shared" si="5"/>
        <v>206.39999999999998</v>
      </c>
      <c r="M3" s="3">
        <f t="shared" si="6"/>
        <v>180.59999999999997</v>
      </c>
      <c r="N3" s="3">
        <f t="shared" si="7"/>
        <v>154.79999999999998</v>
      </c>
      <c r="O3" s="3">
        <f t="shared" si="8"/>
        <v>129</v>
      </c>
      <c r="P3" s="3"/>
      <c r="Q3" s="3">
        <v>1.806</v>
      </c>
      <c r="R3" s="3"/>
    </row>
    <row r="4" ht="14.25">
      <c r="A4">
        <v>18918</v>
      </c>
      <c r="B4">
        <v>261.32999999999998</v>
      </c>
      <c r="C4">
        <v>5.5</v>
      </c>
      <c r="D4">
        <v>159</v>
      </c>
      <c r="E4">
        <v>24.300000000000001</v>
      </c>
      <c r="F4" s="3">
        <f t="shared" si="0"/>
        <v>0.29999999999999999</v>
      </c>
      <c r="G4" s="3">
        <f t="shared" si="1"/>
        <v>100</v>
      </c>
      <c r="H4" s="3">
        <v>37.5</v>
      </c>
      <c r="I4" s="3">
        <f t="shared" si="2"/>
        <v>44</v>
      </c>
      <c r="J4" s="3">
        <f t="shared" si="3"/>
        <v>13.199999999999999</v>
      </c>
      <c r="K4" s="3">
        <f t="shared" si="4"/>
        <v>237.59999999999999</v>
      </c>
      <c r="L4" s="3">
        <f t="shared" si="5"/>
        <v>211.19999999999999</v>
      </c>
      <c r="M4" s="3">
        <f t="shared" si="6"/>
        <v>184.79999999999998</v>
      </c>
      <c r="N4" s="3">
        <f t="shared" si="7"/>
        <v>158.39999999999998</v>
      </c>
      <c r="O4" s="3">
        <f t="shared" si="8"/>
        <v>132</v>
      </c>
      <c r="P4" s="3"/>
      <c r="Q4" s="3">
        <v>3.6259999999999999</v>
      </c>
      <c r="R4" s="3"/>
    </row>
    <row r="5" ht="14.25">
      <c r="A5">
        <v>25222</v>
      </c>
      <c r="B5">
        <v>262.67000000000002</v>
      </c>
      <c r="C5">
        <v>7.3399999999999999</v>
      </c>
      <c r="D5">
        <v>159</v>
      </c>
      <c r="E5">
        <v>24.199999999999999</v>
      </c>
      <c r="F5" s="3">
        <f t="shared" si="0"/>
        <v>0.40000000000000002</v>
      </c>
      <c r="G5" s="3">
        <f t="shared" si="1"/>
        <v>100</v>
      </c>
      <c r="H5" s="3">
        <v>37.5</v>
      </c>
      <c r="I5" s="3">
        <f t="shared" si="2"/>
        <v>44</v>
      </c>
      <c r="J5" s="3">
        <f t="shared" si="3"/>
        <v>13.300000000000001</v>
      </c>
      <c r="K5" s="3">
        <f t="shared" si="4"/>
        <v>239.40000000000001</v>
      </c>
      <c r="L5" s="3">
        <f t="shared" si="5"/>
        <v>212.80000000000001</v>
      </c>
      <c r="M5" s="3">
        <f t="shared" si="6"/>
        <v>186.20000000000002</v>
      </c>
      <c r="N5" s="3">
        <f t="shared" si="7"/>
        <v>159.60000000000002</v>
      </c>
      <c r="O5" s="3">
        <f t="shared" si="8"/>
        <v>133</v>
      </c>
      <c r="P5" s="3"/>
      <c r="Q5" s="3">
        <v>5.4039999999999999</v>
      </c>
      <c r="R5" s="3"/>
    </row>
    <row r="6" ht="14.25">
      <c r="A6">
        <v>31524</v>
      </c>
      <c r="B6">
        <v>260</v>
      </c>
      <c r="C6">
        <v>9.1600000000000001</v>
      </c>
      <c r="D6">
        <v>159</v>
      </c>
      <c r="E6">
        <v>24.399999999999999</v>
      </c>
      <c r="F6" s="3">
        <f t="shared" si="0"/>
        <v>0.5</v>
      </c>
      <c r="G6" s="3">
        <f t="shared" si="1"/>
        <v>100</v>
      </c>
      <c r="H6" s="3">
        <v>37.5</v>
      </c>
      <c r="I6" s="3">
        <f t="shared" si="2"/>
        <v>44</v>
      </c>
      <c r="J6" s="3">
        <f t="shared" si="3"/>
        <v>13.100000000000001</v>
      </c>
      <c r="K6" s="3">
        <f t="shared" si="4"/>
        <v>235.80000000000001</v>
      </c>
      <c r="L6" s="3">
        <f t="shared" si="5"/>
        <v>209.60000000000002</v>
      </c>
      <c r="M6" s="3">
        <f t="shared" si="6"/>
        <v>183.40000000000003</v>
      </c>
      <c r="N6" s="3">
        <f t="shared" si="7"/>
        <v>157.20000000000002</v>
      </c>
      <c r="O6" s="3">
        <f t="shared" si="8"/>
        <v>131</v>
      </c>
      <c r="P6" s="3"/>
      <c r="Q6" s="3">
        <v>7.2380000000000004</v>
      </c>
      <c r="R6" s="3"/>
    </row>
    <row r="7" ht="14.25">
      <c r="A7">
        <v>37827</v>
      </c>
      <c r="B7">
        <v>261.32999999999998</v>
      </c>
      <c r="C7">
        <v>10.99</v>
      </c>
      <c r="D7">
        <v>159</v>
      </c>
      <c r="E7">
        <v>24.399999999999999</v>
      </c>
      <c r="F7" s="3">
        <f t="shared" si="0"/>
        <v>0.59999999999999998</v>
      </c>
      <c r="G7" s="3">
        <f t="shared" si="1"/>
        <v>100</v>
      </c>
      <c r="H7" s="3">
        <v>37.5</v>
      </c>
      <c r="I7" s="3">
        <f t="shared" si="2"/>
        <v>44</v>
      </c>
      <c r="J7" s="3">
        <f t="shared" si="3"/>
        <v>13.100000000000001</v>
      </c>
      <c r="K7" s="3">
        <f t="shared" si="4"/>
        <v>235.80000000000001</v>
      </c>
      <c r="L7" s="3">
        <f t="shared" si="5"/>
        <v>209.60000000000002</v>
      </c>
      <c r="M7" s="3">
        <f t="shared" si="6"/>
        <v>183.40000000000003</v>
      </c>
      <c r="N7" s="3">
        <f t="shared" si="7"/>
        <v>157.20000000000002</v>
      </c>
      <c r="O7" s="3">
        <f t="shared" si="8"/>
        <v>131</v>
      </c>
      <c r="P7" s="3"/>
      <c r="Q7" s="3">
        <v>9.016</v>
      </c>
      <c r="R7" s="3"/>
    </row>
    <row r="8" ht="14.25">
      <c r="A8">
        <v>44130</v>
      </c>
      <c r="B8">
        <v>258.67000000000002</v>
      </c>
      <c r="C8">
        <v>12.800000000000001</v>
      </c>
      <c r="D8">
        <v>159</v>
      </c>
      <c r="E8">
        <v>24.699999999999999</v>
      </c>
      <c r="F8" s="3">
        <f t="shared" si="0"/>
        <v>0.69999999999999996</v>
      </c>
      <c r="G8" s="3">
        <f t="shared" si="1"/>
        <v>100</v>
      </c>
      <c r="H8" s="3">
        <v>37.5</v>
      </c>
      <c r="I8" s="3">
        <f t="shared" si="2"/>
        <v>44</v>
      </c>
      <c r="J8" s="3">
        <f t="shared" si="3"/>
        <v>12.800000000000001</v>
      </c>
      <c r="K8" s="3">
        <f t="shared" si="4"/>
        <v>230.40000000000001</v>
      </c>
      <c r="L8" s="3">
        <f t="shared" si="5"/>
        <v>204.80000000000001</v>
      </c>
      <c r="M8" s="3">
        <f t="shared" si="6"/>
        <v>179.20000000000002</v>
      </c>
      <c r="N8" s="3">
        <f t="shared" si="7"/>
        <v>153.60000000000002</v>
      </c>
      <c r="O8" s="3">
        <f t="shared" si="8"/>
        <v>128</v>
      </c>
      <c r="P8" s="3"/>
      <c r="Q8" s="3">
        <v>10.836</v>
      </c>
      <c r="R8" s="3"/>
    </row>
    <row r="9" ht="14.25">
      <c r="A9">
        <v>50434</v>
      </c>
      <c r="B9">
        <v>261.32999999999998</v>
      </c>
      <c r="C9">
        <v>14.630000000000001</v>
      </c>
      <c r="D9">
        <v>159</v>
      </c>
      <c r="E9">
        <v>24.399999999999999</v>
      </c>
      <c r="F9" s="3">
        <f t="shared" si="0"/>
        <v>0.80000000000000004</v>
      </c>
      <c r="G9" s="3">
        <f t="shared" si="1"/>
        <v>100</v>
      </c>
      <c r="H9" s="3">
        <v>37.5</v>
      </c>
      <c r="I9" s="3">
        <f t="shared" si="2"/>
        <v>44</v>
      </c>
      <c r="J9" s="3">
        <f t="shared" si="3"/>
        <v>13.100000000000001</v>
      </c>
      <c r="K9" s="3">
        <f t="shared" si="4"/>
        <v>235.80000000000001</v>
      </c>
      <c r="L9" s="3">
        <f t="shared" si="5"/>
        <v>209.60000000000002</v>
      </c>
      <c r="M9" s="3">
        <f t="shared" si="6"/>
        <v>183.40000000000003</v>
      </c>
      <c r="N9" s="3">
        <f t="shared" si="7"/>
        <v>157.20000000000002</v>
      </c>
      <c r="O9" s="3">
        <f t="shared" si="8"/>
        <v>131</v>
      </c>
      <c r="P9" s="3"/>
      <c r="Q9" s="3">
        <v>12.586</v>
      </c>
      <c r="R9" s="3"/>
    </row>
    <row r="10" ht="14.25">
      <c r="A10">
        <v>56736</v>
      </c>
      <c r="B10">
        <v>260.67000000000002</v>
      </c>
      <c r="C10">
        <v>16.449999999999999</v>
      </c>
      <c r="D10">
        <v>159</v>
      </c>
      <c r="E10">
        <v>24.5</v>
      </c>
      <c r="F10" s="3">
        <f t="shared" ref="F10:F73" si="9">ROUND(A10/60000,1)</f>
        <v>0.90000000000000002</v>
      </c>
      <c r="G10" s="3">
        <f t="shared" ref="G10:G73" si="10">ROUND((D10/159)*100,1)</f>
        <v>100</v>
      </c>
      <c r="H10" s="3">
        <v>37.5</v>
      </c>
      <c r="I10" s="3">
        <f t="shared" ref="I10:I73" si="11">ROUND((D10/159)*44,1)</f>
        <v>44</v>
      </c>
      <c r="J10" s="3">
        <f t="shared" ref="J10:J73" si="12">37.5-E10</f>
        <v>13</v>
      </c>
      <c r="K10" s="3">
        <f t="shared" ref="K10:K73" si="13">J10*18</f>
        <v>234</v>
      </c>
      <c r="L10" s="3">
        <f t="shared" ref="L10:L73" si="14">J10*16</f>
        <v>208</v>
      </c>
      <c r="M10" s="3">
        <f t="shared" ref="M10:M73" si="15">J10*14</f>
        <v>182</v>
      </c>
      <c r="N10" s="3">
        <f t="shared" ref="N10:N73" si="16">J10*12</f>
        <v>156</v>
      </c>
      <c r="O10" s="3">
        <f t="shared" ref="O10:O73" si="17">J10*10</f>
        <v>130</v>
      </c>
      <c r="P10" s="3"/>
      <c r="Q10" s="3">
        <v>14.391999999999999</v>
      </c>
      <c r="R10" s="3"/>
    </row>
    <row r="11" ht="14.25">
      <c r="A11">
        <v>63039</v>
      </c>
      <c r="B11">
        <v>258</v>
      </c>
      <c r="C11">
        <v>18.260000000000002</v>
      </c>
      <c r="D11">
        <v>159</v>
      </c>
      <c r="E11">
        <v>24.600000000000001</v>
      </c>
      <c r="F11" s="3">
        <f t="shared" si="9"/>
        <v>1.1000000000000001</v>
      </c>
      <c r="G11" s="3">
        <f t="shared" si="10"/>
        <v>100</v>
      </c>
      <c r="H11" s="3">
        <v>37.5</v>
      </c>
      <c r="I11" s="3">
        <f t="shared" si="11"/>
        <v>44</v>
      </c>
      <c r="J11" s="3">
        <f t="shared" si="12"/>
        <v>12.899999999999999</v>
      </c>
      <c r="K11" s="3">
        <f t="shared" si="13"/>
        <v>232.19999999999999</v>
      </c>
      <c r="L11" s="3">
        <f t="shared" si="14"/>
        <v>206.39999999999998</v>
      </c>
      <c r="M11" s="3">
        <f t="shared" si="15"/>
        <v>180.59999999999997</v>
      </c>
      <c r="N11" s="3">
        <f t="shared" si="16"/>
        <v>154.79999999999998</v>
      </c>
      <c r="O11" s="3">
        <f t="shared" si="17"/>
        <v>129</v>
      </c>
      <c r="P11" s="3"/>
      <c r="Q11" s="3">
        <v>16.184000000000001</v>
      </c>
      <c r="R11" s="3"/>
    </row>
    <row r="12" ht="14.25">
      <c r="A12">
        <v>69343</v>
      </c>
      <c r="B12">
        <v>258</v>
      </c>
      <c r="C12">
        <v>20.07</v>
      </c>
      <c r="D12">
        <v>159</v>
      </c>
      <c r="E12">
        <v>24.600000000000001</v>
      </c>
      <c r="F12" s="3">
        <f t="shared" si="9"/>
        <v>1.2</v>
      </c>
      <c r="G12" s="3">
        <f t="shared" si="10"/>
        <v>100</v>
      </c>
      <c r="H12" s="3">
        <v>37.5</v>
      </c>
      <c r="I12" s="3">
        <f t="shared" si="11"/>
        <v>44</v>
      </c>
      <c r="J12" s="3">
        <f t="shared" si="12"/>
        <v>12.899999999999999</v>
      </c>
      <c r="K12" s="3">
        <f t="shared" si="13"/>
        <v>232.19999999999999</v>
      </c>
      <c r="L12" s="3">
        <f t="shared" si="14"/>
        <v>206.39999999999998</v>
      </c>
      <c r="M12" s="3">
        <f t="shared" si="15"/>
        <v>180.59999999999997</v>
      </c>
      <c r="N12" s="3">
        <f t="shared" si="16"/>
        <v>154.79999999999998</v>
      </c>
      <c r="O12" s="3">
        <f t="shared" si="17"/>
        <v>129</v>
      </c>
      <c r="P12" s="3"/>
      <c r="Q12" s="3">
        <v>17.934000000000001</v>
      </c>
      <c r="R12" s="3"/>
    </row>
    <row r="13" ht="14.25">
      <c r="A13">
        <v>75645</v>
      </c>
      <c r="B13">
        <v>254</v>
      </c>
      <c r="C13">
        <v>21.84</v>
      </c>
      <c r="D13">
        <v>159</v>
      </c>
      <c r="E13">
        <v>25</v>
      </c>
      <c r="F13" s="3">
        <f t="shared" si="9"/>
        <v>1.3</v>
      </c>
      <c r="G13" s="3">
        <f t="shared" si="10"/>
        <v>100</v>
      </c>
      <c r="H13" s="3">
        <v>37.5</v>
      </c>
      <c r="I13" s="3">
        <f t="shared" si="11"/>
        <v>44</v>
      </c>
      <c r="J13" s="3">
        <f t="shared" si="12"/>
        <v>12.5</v>
      </c>
      <c r="K13" s="3">
        <f t="shared" si="13"/>
        <v>225</v>
      </c>
      <c r="L13" s="3">
        <f t="shared" si="14"/>
        <v>200</v>
      </c>
      <c r="M13" s="3">
        <f t="shared" si="15"/>
        <v>175</v>
      </c>
      <c r="N13" s="3">
        <f t="shared" si="16"/>
        <v>150</v>
      </c>
      <c r="O13" s="3">
        <f t="shared" si="17"/>
        <v>125</v>
      </c>
      <c r="P13" s="3"/>
      <c r="Q13" s="3">
        <v>19.684000000000001</v>
      </c>
      <c r="R13" s="3"/>
    </row>
    <row r="14" ht="14.25">
      <c r="A14">
        <v>81950</v>
      </c>
      <c r="B14">
        <v>254.66999999999999</v>
      </c>
      <c r="C14">
        <v>23.629999999999999</v>
      </c>
      <c r="D14">
        <v>159</v>
      </c>
      <c r="E14">
        <v>24.800000000000001</v>
      </c>
      <c r="F14" s="3">
        <f t="shared" si="9"/>
        <v>1.3999999999999999</v>
      </c>
      <c r="G14" s="3">
        <f t="shared" si="10"/>
        <v>100</v>
      </c>
      <c r="H14" s="3">
        <v>37.5</v>
      </c>
      <c r="I14" s="3">
        <f t="shared" si="11"/>
        <v>44</v>
      </c>
      <c r="J14" s="3">
        <f t="shared" si="12"/>
        <v>12.699999999999999</v>
      </c>
      <c r="K14" s="3">
        <f t="shared" si="13"/>
        <v>228.59999999999999</v>
      </c>
      <c r="L14" s="3">
        <f t="shared" si="14"/>
        <v>203.19999999999999</v>
      </c>
      <c r="M14" s="3">
        <f t="shared" si="15"/>
        <v>177.79999999999998</v>
      </c>
      <c r="N14" s="3">
        <f t="shared" si="16"/>
        <v>152.39999999999998</v>
      </c>
      <c r="O14" s="3">
        <f t="shared" si="17"/>
        <v>127</v>
      </c>
      <c r="P14" s="3"/>
      <c r="Q14" s="3">
        <v>21.405999999999999</v>
      </c>
      <c r="R14" s="3"/>
    </row>
    <row r="15" ht="14.25">
      <c r="A15">
        <v>88254</v>
      </c>
      <c r="B15">
        <v>252</v>
      </c>
      <c r="C15">
        <v>25.390000000000001</v>
      </c>
      <c r="D15">
        <v>159</v>
      </c>
      <c r="E15">
        <v>24.899999999999999</v>
      </c>
      <c r="F15" s="3">
        <f t="shared" si="9"/>
        <v>1.5</v>
      </c>
      <c r="G15" s="3">
        <f t="shared" si="10"/>
        <v>100</v>
      </c>
      <c r="H15" s="3">
        <v>37.5</v>
      </c>
      <c r="I15" s="3">
        <f t="shared" si="11"/>
        <v>44</v>
      </c>
      <c r="J15" s="3">
        <f t="shared" si="12"/>
        <v>12.600000000000001</v>
      </c>
      <c r="K15" s="3">
        <f t="shared" si="13"/>
        <v>226.80000000000001</v>
      </c>
      <c r="L15" s="3">
        <f t="shared" si="14"/>
        <v>201.60000000000002</v>
      </c>
      <c r="M15" s="3">
        <f t="shared" si="15"/>
        <v>176.40000000000003</v>
      </c>
      <c r="N15" s="3">
        <f t="shared" si="16"/>
        <v>151.20000000000002</v>
      </c>
      <c r="O15" s="3">
        <f t="shared" si="17"/>
        <v>126.00000000000001</v>
      </c>
      <c r="P15" s="3"/>
      <c r="Q15" s="3">
        <v>23.128</v>
      </c>
      <c r="R15" s="3"/>
    </row>
    <row r="16" ht="14.25">
      <c r="A16">
        <v>94557</v>
      </c>
      <c r="B16">
        <v>250</v>
      </c>
      <c r="C16">
        <v>27.140000000000001</v>
      </c>
      <c r="D16">
        <v>159</v>
      </c>
      <c r="E16">
        <v>25</v>
      </c>
      <c r="F16" s="3">
        <f t="shared" si="9"/>
        <v>1.6000000000000001</v>
      </c>
      <c r="G16" s="3">
        <f t="shared" si="10"/>
        <v>100</v>
      </c>
      <c r="H16" s="3">
        <v>37.5</v>
      </c>
      <c r="I16" s="3">
        <f t="shared" si="11"/>
        <v>44</v>
      </c>
      <c r="J16" s="3">
        <f t="shared" si="12"/>
        <v>12.5</v>
      </c>
      <c r="K16" s="3">
        <f t="shared" si="13"/>
        <v>225</v>
      </c>
      <c r="L16" s="3">
        <f t="shared" si="14"/>
        <v>200</v>
      </c>
      <c r="M16" s="3">
        <f t="shared" si="15"/>
        <v>175</v>
      </c>
      <c r="N16" s="3">
        <f t="shared" si="16"/>
        <v>150</v>
      </c>
      <c r="O16" s="3">
        <f t="shared" si="17"/>
        <v>125</v>
      </c>
      <c r="P16" s="3"/>
      <c r="Q16" s="3">
        <v>24.864000000000001</v>
      </c>
      <c r="R16" s="3"/>
    </row>
    <row r="17" ht="14.25">
      <c r="A17">
        <v>100859</v>
      </c>
      <c r="B17">
        <v>248.66999999999999</v>
      </c>
      <c r="C17">
        <v>28.879999999999999</v>
      </c>
      <c r="D17">
        <v>159</v>
      </c>
      <c r="E17">
        <v>25.100000000000001</v>
      </c>
      <c r="F17" s="3">
        <f t="shared" si="9"/>
        <v>1.7</v>
      </c>
      <c r="G17" s="3">
        <f t="shared" si="10"/>
        <v>100</v>
      </c>
      <c r="H17" s="3">
        <v>37.5</v>
      </c>
      <c r="I17" s="3">
        <f t="shared" si="11"/>
        <v>44</v>
      </c>
      <c r="J17" s="3">
        <f t="shared" si="12"/>
        <v>12.399999999999999</v>
      </c>
      <c r="K17" s="3">
        <f t="shared" si="13"/>
        <v>223.19999999999999</v>
      </c>
      <c r="L17" s="3">
        <f t="shared" si="14"/>
        <v>198.39999999999998</v>
      </c>
      <c r="M17" s="3">
        <f t="shared" si="15"/>
        <v>173.59999999999997</v>
      </c>
      <c r="N17" s="3">
        <f t="shared" si="16"/>
        <v>148.79999999999998</v>
      </c>
      <c r="O17" s="3">
        <f t="shared" si="17"/>
        <v>123.99999999999999</v>
      </c>
      <c r="P17" s="3"/>
      <c r="Q17" s="3">
        <v>26.544</v>
      </c>
      <c r="R17" s="3"/>
    </row>
    <row r="18" ht="14.25">
      <c r="A18">
        <v>107162</v>
      </c>
      <c r="B18">
        <v>245.33000000000001</v>
      </c>
      <c r="C18">
        <v>30.600000000000001</v>
      </c>
      <c r="D18">
        <v>159</v>
      </c>
      <c r="E18">
        <v>25.199999999999999</v>
      </c>
      <c r="F18" s="3">
        <f t="shared" si="9"/>
        <v>1.8</v>
      </c>
      <c r="G18" s="3">
        <f t="shared" si="10"/>
        <v>100</v>
      </c>
      <c r="H18" s="3">
        <v>37.5</v>
      </c>
      <c r="I18" s="3">
        <f t="shared" si="11"/>
        <v>44</v>
      </c>
      <c r="J18" s="3">
        <f t="shared" si="12"/>
        <v>12.300000000000001</v>
      </c>
      <c r="K18" s="3">
        <f t="shared" si="13"/>
        <v>221.40000000000001</v>
      </c>
      <c r="L18" s="3">
        <f t="shared" si="14"/>
        <v>196.80000000000001</v>
      </c>
      <c r="M18" s="3">
        <f t="shared" si="15"/>
        <v>172.20000000000002</v>
      </c>
      <c r="N18" s="3">
        <f t="shared" si="16"/>
        <v>147.60000000000002</v>
      </c>
      <c r="O18" s="3">
        <f t="shared" si="17"/>
        <v>123</v>
      </c>
      <c r="P18" s="3"/>
      <c r="Q18" s="3">
        <v>28.167999999999999</v>
      </c>
      <c r="R18" s="3"/>
    </row>
    <row r="19" ht="14.25">
      <c r="A19">
        <v>113465</v>
      </c>
      <c r="B19">
        <v>240.66999999999999</v>
      </c>
      <c r="C19">
        <v>32.280000000000001</v>
      </c>
      <c r="D19">
        <v>159</v>
      </c>
      <c r="E19">
        <v>25.699999999999999</v>
      </c>
      <c r="F19" s="3">
        <f t="shared" si="9"/>
        <v>1.8999999999999999</v>
      </c>
      <c r="G19" s="3">
        <f t="shared" si="10"/>
        <v>100</v>
      </c>
      <c r="H19" s="3">
        <v>37.5</v>
      </c>
      <c r="I19" s="3">
        <f t="shared" si="11"/>
        <v>44</v>
      </c>
      <c r="J19" s="3">
        <f t="shared" si="12"/>
        <v>11.800000000000001</v>
      </c>
      <c r="K19" s="3">
        <f t="shared" si="13"/>
        <v>212.40000000000001</v>
      </c>
      <c r="L19" s="3">
        <f t="shared" si="14"/>
        <v>188.80000000000001</v>
      </c>
      <c r="M19" s="3">
        <f t="shared" si="15"/>
        <v>165.20000000000002</v>
      </c>
      <c r="N19" s="3">
        <f t="shared" si="16"/>
        <v>141.60000000000002</v>
      </c>
      <c r="O19" s="3">
        <f t="shared" si="17"/>
        <v>118</v>
      </c>
      <c r="P19" s="3"/>
      <c r="Q19" s="3">
        <v>29.806000000000001</v>
      </c>
      <c r="R19" s="3"/>
    </row>
    <row r="20" ht="14.25">
      <c r="A20">
        <v>119769</v>
      </c>
      <c r="B20">
        <v>239.33000000000001</v>
      </c>
      <c r="C20">
        <v>33.960000000000001</v>
      </c>
      <c r="D20">
        <v>159</v>
      </c>
      <c r="E20">
        <v>25.5</v>
      </c>
      <c r="F20" s="3">
        <f t="shared" si="9"/>
        <v>2</v>
      </c>
      <c r="G20" s="3">
        <f t="shared" si="10"/>
        <v>100</v>
      </c>
      <c r="H20" s="3">
        <v>37.5</v>
      </c>
      <c r="I20" s="3">
        <f t="shared" si="11"/>
        <v>44</v>
      </c>
      <c r="J20" s="3">
        <f t="shared" si="12"/>
        <v>12</v>
      </c>
      <c r="K20" s="3">
        <f t="shared" si="13"/>
        <v>216</v>
      </c>
      <c r="L20" s="3">
        <f t="shared" si="14"/>
        <v>192</v>
      </c>
      <c r="M20" s="3">
        <f t="shared" si="15"/>
        <v>168</v>
      </c>
      <c r="N20" s="3">
        <f t="shared" si="16"/>
        <v>144</v>
      </c>
      <c r="O20" s="3">
        <f t="shared" si="17"/>
        <v>120</v>
      </c>
      <c r="P20" s="3"/>
      <c r="Q20" s="3">
        <v>31.416</v>
      </c>
      <c r="R20" s="3"/>
    </row>
    <row r="21" ht="14.25">
      <c r="A21">
        <v>126072</v>
      </c>
      <c r="B21">
        <v>237.33000000000001</v>
      </c>
      <c r="C21">
        <v>35.619999999999997</v>
      </c>
      <c r="D21">
        <v>159</v>
      </c>
      <c r="E21">
        <v>25.699999999999999</v>
      </c>
      <c r="F21" s="3">
        <f t="shared" si="9"/>
        <v>2.1000000000000001</v>
      </c>
      <c r="G21" s="3">
        <f t="shared" si="10"/>
        <v>100</v>
      </c>
      <c r="H21" s="3">
        <v>37.5</v>
      </c>
      <c r="I21" s="3">
        <f t="shared" si="11"/>
        <v>44</v>
      </c>
      <c r="J21" s="3">
        <f t="shared" si="12"/>
        <v>11.800000000000001</v>
      </c>
      <c r="K21" s="3">
        <f t="shared" si="13"/>
        <v>212.40000000000001</v>
      </c>
      <c r="L21" s="3">
        <f t="shared" si="14"/>
        <v>188.80000000000001</v>
      </c>
      <c r="M21" s="3">
        <f t="shared" si="15"/>
        <v>165.20000000000002</v>
      </c>
      <c r="N21" s="3">
        <f t="shared" si="16"/>
        <v>141.60000000000002</v>
      </c>
      <c r="O21" s="3">
        <f t="shared" si="17"/>
        <v>118</v>
      </c>
      <c r="P21" s="3"/>
      <c r="Q21" s="3">
        <v>32.984000000000002</v>
      </c>
      <c r="R21" s="3"/>
    </row>
    <row r="22" ht="14.25">
      <c r="A22">
        <v>132374</v>
      </c>
      <c r="B22">
        <v>236</v>
      </c>
      <c r="C22">
        <v>37.270000000000003</v>
      </c>
      <c r="D22">
        <v>159</v>
      </c>
      <c r="E22">
        <v>25.800000000000001</v>
      </c>
      <c r="F22" s="3">
        <f t="shared" si="9"/>
        <v>2.2000000000000002</v>
      </c>
      <c r="G22" s="3">
        <f t="shared" si="10"/>
        <v>100</v>
      </c>
      <c r="H22" s="3">
        <v>37.5</v>
      </c>
      <c r="I22" s="3">
        <f t="shared" si="11"/>
        <v>44</v>
      </c>
      <c r="J22" s="3">
        <f t="shared" si="12"/>
        <v>11.699999999999999</v>
      </c>
      <c r="K22" s="3">
        <f t="shared" si="13"/>
        <v>210.59999999999999</v>
      </c>
      <c r="L22" s="3">
        <f t="shared" si="14"/>
        <v>187.19999999999999</v>
      </c>
      <c r="M22" s="3">
        <f t="shared" si="15"/>
        <v>163.79999999999998</v>
      </c>
      <c r="N22" s="3">
        <f t="shared" si="16"/>
        <v>140.39999999999998</v>
      </c>
      <c r="O22" s="3">
        <f t="shared" si="17"/>
        <v>117</v>
      </c>
      <c r="P22" s="3"/>
      <c r="Q22" s="3">
        <v>34.552</v>
      </c>
      <c r="R22" s="3"/>
    </row>
    <row r="23" ht="14.25">
      <c r="A23">
        <v>138677</v>
      </c>
      <c r="B23">
        <v>228.66999999999999</v>
      </c>
      <c r="C23">
        <v>38.869999999999997</v>
      </c>
      <c r="D23">
        <v>159</v>
      </c>
      <c r="E23">
        <v>26.100000000000001</v>
      </c>
      <c r="F23" s="3">
        <f t="shared" si="9"/>
        <v>2.2999999999999998</v>
      </c>
      <c r="G23" s="3">
        <f t="shared" si="10"/>
        <v>100</v>
      </c>
      <c r="H23" s="3">
        <v>37.5</v>
      </c>
      <c r="I23" s="3">
        <f t="shared" si="11"/>
        <v>44</v>
      </c>
      <c r="J23" s="3">
        <f t="shared" si="12"/>
        <v>11.399999999999999</v>
      </c>
      <c r="K23" s="3">
        <f t="shared" si="13"/>
        <v>205.19999999999999</v>
      </c>
      <c r="L23" s="3">
        <f t="shared" si="14"/>
        <v>182.39999999999998</v>
      </c>
      <c r="M23" s="3">
        <f t="shared" si="15"/>
        <v>159.59999999999997</v>
      </c>
      <c r="N23" s="3">
        <f t="shared" si="16"/>
        <v>136.79999999999998</v>
      </c>
      <c r="O23" s="3">
        <f t="shared" si="17"/>
        <v>113.99999999999999</v>
      </c>
      <c r="P23" s="3"/>
      <c r="Q23" s="3">
        <v>36.091999999999999</v>
      </c>
      <c r="R23" s="3"/>
    </row>
    <row r="24" ht="14.25">
      <c r="A24">
        <v>144980</v>
      </c>
      <c r="B24">
        <v>224.66999999999999</v>
      </c>
      <c r="C24">
        <v>40.450000000000003</v>
      </c>
      <c r="D24">
        <v>159</v>
      </c>
      <c r="E24">
        <v>26.399999999999999</v>
      </c>
      <c r="F24" s="3">
        <f t="shared" si="9"/>
        <v>2.3999999999999999</v>
      </c>
      <c r="G24" s="3">
        <f t="shared" si="10"/>
        <v>100</v>
      </c>
      <c r="H24" s="3">
        <v>37.5</v>
      </c>
      <c r="I24" s="3">
        <f t="shared" si="11"/>
        <v>44</v>
      </c>
      <c r="J24" s="3">
        <f t="shared" si="12"/>
        <v>11.100000000000001</v>
      </c>
      <c r="K24" s="3">
        <f t="shared" si="13"/>
        <v>199.80000000000001</v>
      </c>
      <c r="L24" s="3">
        <f t="shared" si="14"/>
        <v>177.60000000000002</v>
      </c>
      <c r="M24" s="3">
        <f t="shared" si="15"/>
        <v>155.40000000000003</v>
      </c>
      <c r="N24" s="3">
        <f t="shared" si="16"/>
        <v>133.20000000000002</v>
      </c>
      <c r="O24" s="3">
        <f t="shared" si="17"/>
        <v>111.00000000000001</v>
      </c>
      <c r="P24" s="3"/>
      <c r="Q24" s="3">
        <v>37.618000000000002</v>
      </c>
      <c r="R24" s="3"/>
    </row>
    <row r="25" ht="14.25">
      <c r="A25">
        <v>151283</v>
      </c>
      <c r="B25">
        <v>221.33000000000001</v>
      </c>
      <c r="C25">
        <v>42</v>
      </c>
      <c r="D25">
        <v>159</v>
      </c>
      <c r="E25">
        <v>26.5</v>
      </c>
      <c r="F25" s="3">
        <f t="shared" si="9"/>
        <v>2.5</v>
      </c>
      <c r="G25" s="3">
        <f t="shared" si="10"/>
        <v>100</v>
      </c>
      <c r="H25" s="3">
        <v>37.5</v>
      </c>
      <c r="I25" s="3">
        <f t="shared" si="11"/>
        <v>44</v>
      </c>
      <c r="J25" s="3">
        <f t="shared" si="12"/>
        <v>11</v>
      </c>
      <c r="K25" s="3">
        <f t="shared" si="13"/>
        <v>198</v>
      </c>
      <c r="L25" s="3">
        <f t="shared" si="14"/>
        <v>176</v>
      </c>
      <c r="M25" s="3">
        <f t="shared" si="15"/>
        <v>154</v>
      </c>
      <c r="N25" s="3">
        <f t="shared" si="16"/>
        <v>132</v>
      </c>
      <c r="O25" s="3">
        <f t="shared" si="17"/>
        <v>110</v>
      </c>
      <c r="P25" s="3"/>
      <c r="Q25" s="3">
        <v>39.101999999999997</v>
      </c>
      <c r="R25" s="3"/>
    </row>
    <row r="26" ht="14.25">
      <c r="A26">
        <v>157588</v>
      </c>
      <c r="B26">
        <v>218</v>
      </c>
      <c r="C26">
        <v>43.520000000000003</v>
      </c>
      <c r="D26">
        <v>159</v>
      </c>
      <c r="E26">
        <v>26.600000000000001</v>
      </c>
      <c r="F26" s="3">
        <f t="shared" si="9"/>
        <v>2.6000000000000001</v>
      </c>
      <c r="G26" s="3">
        <f t="shared" si="10"/>
        <v>100</v>
      </c>
      <c r="H26" s="3">
        <v>37.5</v>
      </c>
      <c r="I26" s="3">
        <f t="shared" si="11"/>
        <v>44</v>
      </c>
      <c r="J26" s="3">
        <f t="shared" si="12"/>
        <v>10.899999999999999</v>
      </c>
      <c r="K26" s="3">
        <f t="shared" si="13"/>
        <v>196.19999999999999</v>
      </c>
      <c r="L26" s="3">
        <f t="shared" si="14"/>
        <v>174.39999999999998</v>
      </c>
      <c r="M26" s="3">
        <f t="shared" si="15"/>
        <v>152.59999999999997</v>
      </c>
      <c r="N26" s="3">
        <f t="shared" si="16"/>
        <v>130.79999999999998</v>
      </c>
      <c r="O26" s="3">
        <f t="shared" si="17"/>
        <v>108.99999999999999</v>
      </c>
      <c r="P26" s="3"/>
      <c r="Q26" s="3">
        <v>40.558</v>
      </c>
      <c r="R26" s="3"/>
    </row>
    <row r="27" ht="14.25">
      <c r="A27">
        <v>163892</v>
      </c>
      <c r="B27">
        <v>214.66999999999999</v>
      </c>
      <c r="C27">
        <v>45.020000000000003</v>
      </c>
      <c r="D27">
        <v>159</v>
      </c>
      <c r="E27">
        <v>26.899999999999999</v>
      </c>
      <c r="F27" s="3">
        <f t="shared" si="9"/>
        <v>2.7000000000000002</v>
      </c>
      <c r="G27" s="3">
        <f t="shared" si="10"/>
        <v>100</v>
      </c>
      <c r="H27" s="3">
        <v>37.5</v>
      </c>
      <c r="I27" s="3">
        <f t="shared" si="11"/>
        <v>44</v>
      </c>
      <c r="J27" s="3">
        <f t="shared" si="12"/>
        <v>10.600000000000001</v>
      </c>
      <c r="K27" s="3">
        <f t="shared" si="13"/>
        <v>190.80000000000001</v>
      </c>
      <c r="L27" s="3">
        <f t="shared" si="14"/>
        <v>169.60000000000002</v>
      </c>
      <c r="M27" s="3">
        <f t="shared" si="15"/>
        <v>148.40000000000003</v>
      </c>
      <c r="N27" s="3">
        <f t="shared" si="16"/>
        <v>127.20000000000002</v>
      </c>
      <c r="O27" s="3">
        <f t="shared" si="17"/>
        <v>106.00000000000001</v>
      </c>
      <c r="P27" s="3"/>
      <c r="Q27" s="3">
        <v>42.014000000000003</v>
      </c>
      <c r="R27" s="3"/>
    </row>
    <row r="28" ht="14.25">
      <c r="A28">
        <v>170195</v>
      </c>
      <c r="B28">
        <v>209.33000000000001</v>
      </c>
      <c r="C28">
        <v>46.490000000000002</v>
      </c>
      <c r="D28">
        <v>159</v>
      </c>
      <c r="E28">
        <v>27.100000000000001</v>
      </c>
      <c r="F28" s="3">
        <f t="shared" si="9"/>
        <v>2.7999999999999998</v>
      </c>
      <c r="G28" s="3">
        <f t="shared" si="10"/>
        <v>100</v>
      </c>
      <c r="H28" s="3">
        <v>37.5</v>
      </c>
      <c r="I28" s="3">
        <f t="shared" si="11"/>
        <v>44</v>
      </c>
      <c r="J28" s="3">
        <f t="shared" si="12"/>
        <v>10.399999999999999</v>
      </c>
      <c r="K28" s="3">
        <f t="shared" si="13"/>
        <v>187.19999999999999</v>
      </c>
      <c r="L28" s="3">
        <f t="shared" si="14"/>
        <v>166.39999999999998</v>
      </c>
      <c r="M28" s="3">
        <f t="shared" si="15"/>
        <v>145.59999999999997</v>
      </c>
      <c r="N28" s="3">
        <f t="shared" si="16"/>
        <v>124.79999999999998</v>
      </c>
      <c r="O28" s="3">
        <f t="shared" si="17"/>
        <v>103.99999999999999</v>
      </c>
      <c r="P28" s="3"/>
      <c r="Q28" s="3">
        <v>43.414000000000001</v>
      </c>
      <c r="R28" s="3"/>
    </row>
    <row r="29" ht="14.25">
      <c r="A29">
        <v>176499</v>
      </c>
      <c r="B29">
        <v>208</v>
      </c>
      <c r="C29">
        <v>47.950000000000003</v>
      </c>
      <c r="D29">
        <v>159</v>
      </c>
      <c r="E29">
        <v>27.100000000000001</v>
      </c>
      <c r="F29" s="3">
        <f t="shared" si="9"/>
        <v>2.8999999999999999</v>
      </c>
      <c r="G29" s="3">
        <f t="shared" si="10"/>
        <v>100</v>
      </c>
      <c r="H29" s="3">
        <v>37.5</v>
      </c>
      <c r="I29" s="3">
        <f t="shared" si="11"/>
        <v>44</v>
      </c>
      <c r="J29" s="3">
        <f t="shared" si="12"/>
        <v>10.399999999999999</v>
      </c>
      <c r="K29" s="3">
        <f t="shared" si="13"/>
        <v>187.19999999999999</v>
      </c>
      <c r="L29" s="3">
        <f t="shared" si="14"/>
        <v>166.39999999999998</v>
      </c>
      <c r="M29" s="3">
        <f t="shared" si="15"/>
        <v>145.59999999999997</v>
      </c>
      <c r="N29" s="3">
        <f t="shared" si="16"/>
        <v>124.79999999999998</v>
      </c>
      <c r="O29" s="3">
        <f t="shared" si="17"/>
        <v>103.99999999999999</v>
      </c>
      <c r="P29" s="3"/>
      <c r="Q29" s="3">
        <v>44.786000000000001</v>
      </c>
      <c r="R29" s="3"/>
    </row>
    <row r="30" ht="14.25">
      <c r="A30">
        <v>182802</v>
      </c>
      <c r="B30">
        <v>201.33000000000001</v>
      </c>
      <c r="C30">
        <v>49.350000000000001</v>
      </c>
      <c r="D30">
        <v>159</v>
      </c>
      <c r="E30">
        <v>27.5</v>
      </c>
      <c r="F30" s="3">
        <f t="shared" si="9"/>
        <v>3</v>
      </c>
      <c r="G30" s="3">
        <f t="shared" si="10"/>
        <v>100</v>
      </c>
      <c r="H30" s="3">
        <v>37.5</v>
      </c>
      <c r="I30" s="3">
        <f t="shared" si="11"/>
        <v>44</v>
      </c>
      <c r="J30" s="3">
        <f t="shared" si="12"/>
        <v>10</v>
      </c>
      <c r="K30" s="3">
        <f t="shared" si="13"/>
        <v>180</v>
      </c>
      <c r="L30" s="3">
        <f t="shared" si="14"/>
        <v>160</v>
      </c>
      <c r="M30" s="3">
        <f t="shared" si="15"/>
        <v>140</v>
      </c>
      <c r="N30" s="3">
        <f t="shared" si="16"/>
        <v>120</v>
      </c>
      <c r="O30" s="3">
        <f t="shared" si="17"/>
        <v>100</v>
      </c>
      <c r="P30" s="3"/>
      <c r="Q30" s="3">
        <v>46.130000000000003</v>
      </c>
      <c r="R30" s="3"/>
    </row>
    <row r="31" ht="14.25">
      <c r="A31">
        <v>189106</v>
      </c>
      <c r="B31">
        <v>198.66999999999999</v>
      </c>
      <c r="C31">
        <v>50.75</v>
      </c>
      <c r="D31">
        <v>159</v>
      </c>
      <c r="E31">
        <v>27.800000000000001</v>
      </c>
      <c r="F31" s="3">
        <f t="shared" si="9"/>
        <v>3.2000000000000002</v>
      </c>
      <c r="G31" s="3">
        <f t="shared" si="10"/>
        <v>100</v>
      </c>
      <c r="H31" s="3">
        <v>37.5</v>
      </c>
      <c r="I31" s="3">
        <f t="shared" si="11"/>
        <v>44</v>
      </c>
      <c r="J31" s="3">
        <f t="shared" si="12"/>
        <v>9.6999999999999993</v>
      </c>
      <c r="K31" s="3">
        <f t="shared" si="13"/>
        <v>174.59999999999999</v>
      </c>
      <c r="L31" s="3">
        <f t="shared" si="14"/>
        <v>155.19999999999999</v>
      </c>
      <c r="M31" s="3">
        <f t="shared" si="15"/>
        <v>135.79999999999998</v>
      </c>
      <c r="N31" s="3">
        <f t="shared" si="16"/>
        <v>116.39999999999999</v>
      </c>
      <c r="O31" s="3">
        <f t="shared" si="17"/>
        <v>97</v>
      </c>
      <c r="P31" s="3"/>
      <c r="Q31" s="3">
        <v>47.417999999999999</v>
      </c>
      <c r="R31" s="3"/>
    </row>
    <row r="32" ht="14.25">
      <c r="A32">
        <v>195408</v>
      </c>
      <c r="B32">
        <v>191.33000000000001</v>
      </c>
      <c r="C32">
        <v>52.079999999999998</v>
      </c>
      <c r="D32">
        <v>159</v>
      </c>
      <c r="E32">
        <v>28.100000000000001</v>
      </c>
      <c r="F32" s="3">
        <f t="shared" si="9"/>
        <v>3.2999999999999998</v>
      </c>
      <c r="G32" s="3">
        <f t="shared" si="10"/>
        <v>100</v>
      </c>
      <c r="H32" s="3">
        <v>37.5</v>
      </c>
      <c r="I32" s="3">
        <f t="shared" si="11"/>
        <v>44</v>
      </c>
      <c r="J32" s="3">
        <f t="shared" si="12"/>
        <v>9.3999999999999986</v>
      </c>
      <c r="K32" s="3">
        <f t="shared" si="13"/>
        <v>169.19999999999999</v>
      </c>
      <c r="L32" s="3">
        <f t="shared" si="14"/>
        <v>150.39999999999998</v>
      </c>
      <c r="M32" s="3">
        <f t="shared" si="15"/>
        <v>131.59999999999997</v>
      </c>
      <c r="N32" s="3">
        <f t="shared" si="16"/>
        <v>112.79999999999998</v>
      </c>
      <c r="O32" s="3">
        <f t="shared" si="17"/>
        <v>93.999999999999986</v>
      </c>
      <c r="P32" s="3"/>
      <c r="Q32" s="3">
        <v>48.677999999999997</v>
      </c>
      <c r="R32" s="3"/>
    </row>
    <row r="33" ht="14.25">
      <c r="A33">
        <v>201711</v>
      </c>
      <c r="B33">
        <v>188</v>
      </c>
      <c r="C33">
        <v>53.399999999999999</v>
      </c>
      <c r="D33">
        <v>159</v>
      </c>
      <c r="E33">
        <v>28.300000000000001</v>
      </c>
      <c r="F33" s="3">
        <f t="shared" si="9"/>
        <v>3.3999999999999999</v>
      </c>
      <c r="G33" s="3">
        <f t="shared" si="10"/>
        <v>100</v>
      </c>
      <c r="H33" s="3">
        <v>37.5</v>
      </c>
      <c r="I33" s="3">
        <f t="shared" si="11"/>
        <v>44</v>
      </c>
      <c r="J33" s="3">
        <f t="shared" si="12"/>
        <v>9.1999999999999993</v>
      </c>
      <c r="K33" s="3">
        <f t="shared" si="13"/>
        <v>165.59999999999999</v>
      </c>
      <c r="L33" s="3">
        <f t="shared" si="14"/>
        <v>147.19999999999999</v>
      </c>
      <c r="M33" s="3">
        <f t="shared" si="15"/>
        <v>128.79999999999998</v>
      </c>
      <c r="N33" s="3">
        <f t="shared" si="16"/>
        <v>110.39999999999999</v>
      </c>
      <c r="O33" s="3">
        <f t="shared" si="17"/>
        <v>92</v>
      </c>
      <c r="P33" s="3"/>
      <c r="Q33" s="3">
        <v>49.923999999999999</v>
      </c>
      <c r="R33" s="3"/>
    </row>
    <row r="34" ht="14.25">
      <c r="A34">
        <v>208014</v>
      </c>
      <c r="B34">
        <v>184.66999999999999</v>
      </c>
      <c r="C34">
        <v>54.689999999999998</v>
      </c>
      <c r="D34">
        <v>159</v>
      </c>
      <c r="E34">
        <v>28.300000000000001</v>
      </c>
      <c r="F34" s="3">
        <f t="shared" si="9"/>
        <v>3.5</v>
      </c>
      <c r="G34" s="3">
        <f t="shared" si="10"/>
        <v>100</v>
      </c>
      <c r="H34" s="3">
        <v>37.5</v>
      </c>
      <c r="I34" s="3">
        <f t="shared" si="11"/>
        <v>44</v>
      </c>
      <c r="J34" s="3">
        <f t="shared" si="12"/>
        <v>9.1999999999999993</v>
      </c>
      <c r="K34" s="3">
        <f t="shared" si="13"/>
        <v>165.59999999999999</v>
      </c>
      <c r="L34" s="3">
        <f t="shared" si="14"/>
        <v>147.19999999999999</v>
      </c>
      <c r="M34" s="3">
        <f t="shared" si="15"/>
        <v>128.79999999999998</v>
      </c>
      <c r="N34" s="3">
        <f t="shared" si="16"/>
        <v>110.39999999999999</v>
      </c>
      <c r="O34" s="3">
        <f t="shared" si="17"/>
        <v>92</v>
      </c>
      <c r="P34" s="3"/>
      <c r="Q34" s="3">
        <v>51.170000000000002</v>
      </c>
      <c r="R34" s="3"/>
    </row>
    <row r="35" ht="14.25">
      <c r="A35">
        <v>214318</v>
      </c>
      <c r="B35">
        <v>180</v>
      </c>
      <c r="C35">
        <v>55.950000000000003</v>
      </c>
      <c r="D35">
        <v>159</v>
      </c>
      <c r="E35">
        <v>28.5</v>
      </c>
      <c r="F35" s="3">
        <f t="shared" si="9"/>
        <v>3.6000000000000001</v>
      </c>
      <c r="G35" s="3">
        <f t="shared" si="10"/>
        <v>100</v>
      </c>
      <c r="H35" s="3">
        <v>37.5</v>
      </c>
      <c r="I35" s="3">
        <f t="shared" si="11"/>
        <v>44</v>
      </c>
      <c r="J35" s="3">
        <f t="shared" si="12"/>
        <v>9</v>
      </c>
      <c r="K35" s="3">
        <f t="shared" si="13"/>
        <v>162</v>
      </c>
      <c r="L35" s="3">
        <f t="shared" si="14"/>
        <v>144</v>
      </c>
      <c r="M35" s="3">
        <f t="shared" si="15"/>
        <v>126</v>
      </c>
      <c r="N35" s="3">
        <f t="shared" si="16"/>
        <v>108</v>
      </c>
      <c r="O35" s="3">
        <f t="shared" si="17"/>
        <v>90</v>
      </c>
      <c r="P35" s="3"/>
      <c r="Q35" s="3">
        <v>52.387999999999998</v>
      </c>
      <c r="R35" s="3"/>
    </row>
    <row r="36" ht="14.25">
      <c r="A36">
        <v>220620</v>
      </c>
      <c r="B36">
        <v>173.33000000000001</v>
      </c>
      <c r="C36">
        <v>57.170000000000002</v>
      </c>
      <c r="D36">
        <v>159</v>
      </c>
      <c r="E36">
        <v>29.100000000000001</v>
      </c>
      <c r="F36" s="3">
        <f t="shared" si="9"/>
        <v>3.7000000000000002</v>
      </c>
      <c r="G36" s="3">
        <f t="shared" si="10"/>
        <v>100</v>
      </c>
      <c r="H36" s="3">
        <v>37.5</v>
      </c>
      <c r="I36" s="3">
        <f t="shared" si="11"/>
        <v>44</v>
      </c>
      <c r="J36" s="3">
        <f t="shared" si="12"/>
        <v>8.3999999999999986</v>
      </c>
      <c r="K36" s="3">
        <f t="shared" si="13"/>
        <v>151.19999999999999</v>
      </c>
      <c r="L36" s="3">
        <f t="shared" si="14"/>
        <v>134.39999999999998</v>
      </c>
      <c r="M36" s="3">
        <f t="shared" si="15"/>
        <v>117.59999999999998</v>
      </c>
      <c r="N36" s="3">
        <f t="shared" si="16"/>
        <v>100.79999999999998</v>
      </c>
      <c r="O36" s="3">
        <f t="shared" si="17"/>
        <v>83.999999999999986</v>
      </c>
      <c r="P36" s="3"/>
      <c r="Q36" s="3">
        <v>53.521999999999998</v>
      </c>
      <c r="R36" s="3"/>
    </row>
    <row r="37" ht="14.25">
      <c r="A37">
        <v>226923</v>
      </c>
      <c r="B37">
        <v>173.33000000000001</v>
      </c>
      <c r="C37">
        <v>58.380000000000003</v>
      </c>
      <c r="D37">
        <v>159</v>
      </c>
      <c r="E37">
        <v>28.899999999999999</v>
      </c>
      <c r="F37" s="3">
        <f t="shared" si="9"/>
        <v>3.7999999999999998</v>
      </c>
      <c r="G37" s="3">
        <f t="shared" si="10"/>
        <v>100</v>
      </c>
      <c r="H37" s="3">
        <v>37.5</v>
      </c>
      <c r="I37" s="3">
        <f t="shared" si="11"/>
        <v>44</v>
      </c>
      <c r="J37" s="3">
        <f t="shared" si="12"/>
        <v>8.6000000000000014</v>
      </c>
      <c r="K37" s="3">
        <f t="shared" si="13"/>
        <v>154.80000000000001</v>
      </c>
      <c r="L37" s="3">
        <f t="shared" si="14"/>
        <v>137.60000000000002</v>
      </c>
      <c r="M37" s="3">
        <f t="shared" si="15"/>
        <v>120.40000000000002</v>
      </c>
      <c r="N37" s="3">
        <f t="shared" si="16"/>
        <v>103.20000000000002</v>
      </c>
      <c r="O37" s="3">
        <f t="shared" si="17"/>
        <v>86.000000000000014</v>
      </c>
      <c r="P37" s="3"/>
      <c r="Q37" s="3">
        <v>54.628</v>
      </c>
      <c r="R37" s="3"/>
    </row>
    <row r="38" ht="14.25">
      <c r="A38">
        <v>233226</v>
      </c>
      <c r="B38">
        <v>164.66999999999999</v>
      </c>
      <c r="C38">
        <v>59.530000000000001</v>
      </c>
      <c r="D38">
        <v>159</v>
      </c>
      <c r="E38">
        <v>29.600000000000001</v>
      </c>
      <c r="F38" s="3">
        <f t="shared" si="9"/>
        <v>3.8999999999999999</v>
      </c>
      <c r="G38" s="3">
        <f t="shared" si="10"/>
        <v>100</v>
      </c>
      <c r="H38" s="3">
        <v>37.5</v>
      </c>
      <c r="I38" s="3">
        <f t="shared" si="11"/>
        <v>44</v>
      </c>
      <c r="J38" s="3">
        <f t="shared" si="12"/>
        <v>7.8999999999999986</v>
      </c>
      <c r="K38" s="3">
        <f t="shared" si="13"/>
        <v>142.19999999999999</v>
      </c>
      <c r="L38" s="3">
        <f t="shared" si="14"/>
        <v>126.39999999999998</v>
      </c>
      <c r="M38" s="3">
        <f t="shared" si="15"/>
        <v>110.59999999999998</v>
      </c>
      <c r="N38" s="3">
        <f t="shared" si="16"/>
        <v>94.799999999999983</v>
      </c>
      <c r="O38" s="3">
        <f t="shared" si="17"/>
        <v>78.999999999999986</v>
      </c>
      <c r="P38" s="3"/>
      <c r="Q38" s="3">
        <v>55.706000000000003</v>
      </c>
      <c r="R38" s="3"/>
    </row>
    <row r="39" ht="14.25">
      <c r="A39">
        <v>239528</v>
      </c>
      <c r="B39">
        <v>160</v>
      </c>
      <c r="C39">
        <v>60.649999999999999</v>
      </c>
      <c r="D39">
        <v>159</v>
      </c>
      <c r="E39">
        <v>29.600000000000001</v>
      </c>
      <c r="F39" s="3">
        <f t="shared" si="9"/>
        <v>4</v>
      </c>
      <c r="G39" s="3">
        <f t="shared" si="10"/>
        <v>100</v>
      </c>
      <c r="H39" s="3">
        <v>37.5</v>
      </c>
      <c r="I39" s="3">
        <f t="shared" si="11"/>
        <v>44</v>
      </c>
      <c r="J39" s="3">
        <f t="shared" si="12"/>
        <v>7.8999999999999986</v>
      </c>
      <c r="K39" s="3">
        <f t="shared" si="13"/>
        <v>142.19999999999999</v>
      </c>
      <c r="L39" s="3">
        <f t="shared" si="14"/>
        <v>126.39999999999998</v>
      </c>
      <c r="M39" s="3">
        <f t="shared" si="15"/>
        <v>110.59999999999998</v>
      </c>
      <c r="N39" s="3">
        <f t="shared" si="16"/>
        <v>94.799999999999983</v>
      </c>
      <c r="O39" s="3">
        <f t="shared" si="17"/>
        <v>78.999999999999986</v>
      </c>
      <c r="P39" s="3"/>
      <c r="Q39" s="3">
        <v>56.728000000000002</v>
      </c>
      <c r="R39" s="3"/>
    </row>
    <row r="40" ht="14.25">
      <c r="A40">
        <v>245833</v>
      </c>
      <c r="B40">
        <v>155.33000000000001</v>
      </c>
      <c r="C40">
        <v>61.740000000000002</v>
      </c>
      <c r="D40">
        <v>159</v>
      </c>
      <c r="E40">
        <v>29.800000000000001</v>
      </c>
      <c r="F40" s="3">
        <f t="shared" si="9"/>
        <v>4.0999999999999996</v>
      </c>
      <c r="G40" s="3">
        <f t="shared" si="10"/>
        <v>100</v>
      </c>
      <c r="H40" s="3">
        <v>37.5</v>
      </c>
      <c r="I40" s="3">
        <f t="shared" si="11"/>
        <v>44</v>
      </c>
      <c r="J40" s="3">
        <f t="shared" si="12"/>
        <v>7.6999999999999993</v>
      </c>
      <c r="K40" s="3">
        <f t="shared" si="13"/>
        <v>138.59999999999999</v>
      </c>
      <c r="L40" s="3">
        <f t="shared" si="14"/>
        <v>123.19999999999999</v>
      </c>
      <c r="M40" s="3">
        <f t="shared" si="15"/>
        <v>107.79999999999998</v>
      </c>
      <c r="N40" s="3">
        <f t="shared" si="16"/>
        <v>92.399999999999991</v>
      </c>
      <c r="O40" s="3">
        <f t="shared" si="17"/>
        <v>77</v>
      </c>
      <c r="P40" s="3"/>
      <c r="Q40" s="3">
        <v>57.735999999999997</v>
      </c>
      <c r="R40" s="3"/>
    </row>
    <row r="41" ht="14.25">
      <c r="A41">
        <v>252137</v>
      </c>
      <c r="B41">
        <v>148</v>
      </c>
      <c r="C41">
        <v>62.780000000000001</v>
      </c>
      <c r="D41">
        <v>159</v>
      </c>
      <c r="E41">
        <v>30</v>
      </c>
      <c r="F41" s="3">
        <f t="shared" si="9"/>
        <v>4.2000000000000002</v>
      </c>
      <c r="G41" s="3">
        <f t="shared" si="10"/>
        <v>100</v>
      </c>
      <c r="H41" s="3">
        <v>37.5</v>
      </c>
      <c r="I41" s="3">
        <f t="shared" si="11"/>
        <v>44</v>
      </c>
      <c r="J41" s="3">
        <f t="shared" si="12"/>
        <v>7.5</v>
      </c>
      <c r="K41" s="3">
        <f t="shared" si="13"/>
        <v>135</v>
      </c>
      <c r="L41" s="3">
        <f t="shared" si="14"/>
        <v>120</v>
      </c>
      <c r="M41" s="3">
        <f t="shared" si="15"/>
        <v>105</v>
      </c>
      <c r="N41" s="3">
        <f t="shared" si="16"/>
        <v>90</v>
      </c>
      <c r="O41" s="3">
        <f t="shared" si="17"/>
        <v>75</v>
      </c>
      <c r="P41" s="3"/>
      <c r="Q41" s="3">
        <v>58.716000000000001</v>
      </c>
      <c r="R41" s="3"/>
    </row>
    <row r="42" ht="14.25">
      <c r="A42">
        <v>258441</v>
      </c>
      <c r="B42">
        <v>146</v>
      </c>
      <c r="C42">
        <v>63.799999999999997</v>
      </c>
      <c r="D42">
        <v>159</v>
      </c>
      <c r="E42">
        <v>30.300000000000001</v>
      </c>
      <c r="F42" s="3">
        <f t="shared" si="9"/>
        <v>4.2999999999999998</v>
      </c>
      <c r="G42" s="3">
        <f t="shared" si="10"/>
        <v>100</v>
      </c>
      <c r="H42" s="3">
        <v>37.5</v>
      </c>
      <c r="I42" s="3">
        <f t="shared" si="11"/>
        <v>44</v>
      </c>
      <c r="J42" s="3">
        <f t="shared" si="12"/>
        <v>7.1999999999999993</v>
      </c>
      <c r="K42" s="3">
        <f t="shared" si="13"/>
        <v>129.59999999999999</v>
      </c>
      <c r="L42" s="3">
        <f t="shared" si="14"/>
        <v>115.19999999999999</v>
      </c>
      <c r="M42" s="3">
        <f t="shared" si="15"/>
        <v>100.79999999999998</v>
      </c>
      <c r="N42" s="3">
        <f t="shared" si="16"/>
        <v>86.399999999999991</v>
      </c>
      <c r="O42" s="3">
        <f t="shared" si="17"/>
        <v>72</v>
      </c>
      <c r="P42" s="3"/>
      <c r="Q42" s="3">
        <v>59.640000000000001</v>
      </c>
      <c r="R42" s="3"/>
    </row>
    <row r="43" ht="14.25">
      <c r="A43">
        <v>264744</v>
      </c>
      <c r="B43">
        <v>137.33000000000001</v>
      </c>
      <c r="C43">
        <v>64.760000000000005</v>
      </c>
      <c r="D43">
        <v>159</v>
      </c>
      <c r="E43">
        <v>30.800000000000001</v>
      </c>
      <c r="F43" s="3">
        <f t="shared" si="9"/>
        <v>4.4000000000000004</v>
      </c>
      <c r="G43" s="3">
        <f t="shared" si="10"/>
        <v>100</v>
      </c>
      <c r="H43" s="3">
        <v>37.5</v>
      </c>
      <c r="I43" s="3">
        <f t="shared" si="11"/>
        <v>44</v>
      </c>
      <c r="J43" s="3">
        <f t="shared" si="12"/>
        <v>6.6999999999999993</v>
      </c>
      <c r="K43" s="3">
        <f t="shared" si="13"/>
        <v>120.59999999999999</v>
      </c>
      <c r="L43" s="3">
        <f t="shared" si="14"/>
        <v>107.19999999999999</v>
      </c>
      <c r="M43" s="3">
        <f t="shared" si="15"/>
        <v>93.799999999999983</v>
      </c>
      <c r="N43" s="3">
        <f t="shared" si="16"/>
        <v>80.399999999999991</v>
      </c>
      <c r="O43" s="3">
        <f t="shared" si="17"/>
        <v>67</v>
      </c>
      <c r="P43" s="3"/>
      <c r="Q43" s="3">
        <v>60.536000000000001</v>
      </c>
      <c r="R43" s="3"/>
    </row>
    <row r="44" ht="14.25">
      <c r="A44">
        <v>271047</v>
      </c>
      <c r="B44">
        <v>135.33000000000001</v>
      </c>
      <c r="C44">
        <v>65.709999999999994</v>
      </c>
      <c r="D44">
        <v>159</v>
      </c>
      <c r="E44">
        <v>30.800000000000001</v>
      </c>
      <c r="F44" s="3">
        <f t="shared" si="9"/>
        <v>4.5</v>
      </c>
      <c r="G44" s="3">
        <f t="shared" si="10"/>
        <v>100</v>
      </c>
      <c r="H44" s="3">
        <v>37.5</v>
      </c>
      <c r="I44" s="3">
        <f t="shared" si="11"/>
        <v>44</v>
      </c>
      <c r="J44" s="3">
        <f t="shared" si="12"/>
        <v>6.6999999999999993</v>
      </c>
      <c r="K44" s="3">
        <f t="shared" si="13"/>
        <v>120.59999999999999</v>
      </c>
      <c r="L44" s="3">
        <f t="shared" si="14"/>
        <v>107.19999999999999</v>
      </c>
      <c r="M44" s="3">
        <f t="shared" si="15"/>
        <v>93.799999999999983</v>
      </c>
      <c r="N44" s="3">
        <f t="shared" si="16"/>
        <v>80.399999999999991</v>
      </c>
      <c r="O44" s="3">
        <f t="shared" si="17"/>
        <v>67</v>
      </c>
      <c r="P44" s="3"/>
      <c r="Q44" s="3">
        <v>61.404000000000003</v>
      </c>
      <c r="R44" s="3"/>
    </row>
    <row r="45" ht="14.25">
      <c r="A45">
        <v>277350</v>
      </c>
      <c r="B45">
        <v>130.66999999999999</v>
      </c>
      <c r="C45">
        <v>66.620000000000005</v>
      </c>
      <c r="D45">
        <v>159</v>
      </c>
      <c r="E45">
        <v>31.199999999999999</v>
      </c>
      <c r="F45" s="3">
        <f t="shared" si="9"/>
        <v>4.5999999999999996</v>
      </c>
      <c r="G45" s="3">
        <f t="shared" si="10"/>
        <v>100</v>
      </c>
      <c r="H45" s="3">
        <v>37.5</v>
      </c>
      <c r="I45" s="3">
        <f t="shared" si="11"/>
        <v>44</v>
      </c>
      <c r="J45" s="3">
        <f t="shared" si="12"/>
        <v>6.3000000000000007</v>
      </c>
      <c r="K45" s="3">
        <f t="shared" si="13"/>
        <v>113.40000000000001</v>
      </c>
      <c r="L45" s="3">
        <f t="shared" si="14"/>
        <v>100.80000000000001</v>
      </c>
      <c r="M45" s="3">
        <f t="shared" si="15"/>
        <v>88.200000000000017</v>
      </c>
      <c r="N45" s="3">
        <f t="shared" si="16"/>
        <v>75.600000000000009</v>
      </c>
      <c r="O45" s="3">
        <f t="shared" si="17"/>
        <v>63.000000000000007</v>
      </c>
      <c r="P45" s="3"/>
      <c r="Q45" s="3">
        <v>62.216000000000001</v>
      </c>
      <c r="R45" s="3"/>
    </row>
    <row r="46" ht="14.25">
      <c r="A46">
        <v>283653</v>
      </c>
      <c r="B46">
        <v>125.33</v>
      </c>
      <c r="C46">
        <v>67.5</v>
      </c>
      <c r="D46">
        <v>159</v>
      </c>
      <c r="E46">
        <v>31.300000000000001</v>
      </c>
      <c r="F46" s="3">
        <f t="shared" si="9"/>
        <v>4.7000000000000002</v>
      </c>
      <c r="G46" s="3">
        <f t="shared" si="10"/>
        <v>100</v>
      </c>
      <c r="H46" s="3">
        <v>37.5</v>
      </c>
      <c r="I46" s="3">
        <f t="shared" si="11"/>
        <v>44</v>
      </c>
      <c r="J46" s="3">
        <f t="shared" si="12"/>
        <v>6.1999999999999993</v>
      </c>
      <c r="K46" s="3">
        <f t="shared" si="13"/>
        <v>111.59999999999999</v>
      </c>
      <c r="L46" s="3">
        <f t="shared" si="14"/>
        <v>99.199999999999989</v>
      </c>
      <c r="M46" s="3">
        <f t="shared" si="15"/>
        <v>86.799999999999983</v>
      </c>
      <c r="N46" s="3">
        <f t="shared" si="16"/>
        <v>74.399999999999991</v>
      </c>
      <c r="O46" s="3">
        <f t="shared" si="17"/>
        <v>61.999999999999993</v>
      </c>
      <c r="P46" s="3"/>
      <c r="Q46" s="3">
        <v>63.014000000000003</v>
      </c>
      <c r="R46" s="3"/>
    </row>
    <row r="47" ht="14.25">
      <c r="A47">
        <v>289955</v>
      </c>
      <c r="B47">
        <v>120</v>
      </c>
      <c r="C47">
        <v>68.340000000000003</v>
      </c>
      <c r="D47">
        <v>159</v>
      </c>
      <c r="E47">
        <v>31.699999999999999</v>
      </c>
      <c r="F47" s="3">
        <f t="shared" si="9"/>
        <v>4.7999999999999998</v>
      </c>
      <c r="G47" s="3">
        <f t="shared" si="10"/>
        <v>100</v>
      </c>
      <c r="H47" s="3">
        <v>37.5</v>
      </c>
      <c r="I47" s="3">
        <f t="shared" si="11"/>
        <v>44</v>
      </c>
      <c r="J47" s="3">
        <f t="shared" si="12"/>
        <v>5.8000000000000007</v>
      </c>
      <c r="K47" s="3">
        <f t="shared" si="13"/>
        <v>104.40000000000001</v>
      </c>
      <c r="L47" s="3">
        <f t="shared" si="14"/>
        <v>92.800000000000011</v>
      </c>
      <c r="M47" s="3">
        <f t="shared" si="15"/>
        <v>81.200000000000017</v>
      </c>
      <c r="N47" s="3">
        <f t="shared" si="16"/>
        <v>69.600000000000009</v>
      </c>
      <c r="O47" s="3">
        <f t="shared" si="17"/>
        <v>58.000000000000007</v>
      </c>
      <c r="P47" s="3"/>
      <c r="Q47" s="3">
        <v>63.826000000000001</v>
      </c>
      <c r="R47" s="3"/>
    </row>
    <row r="48" ht="14.25">
      <c r="A48">
        <v>296259</v>
      </c>
      <c r="B48">
        <v>112.67</v>
      </c>
      <c r="C48">
        <v>69.129999999999995</v>
      </c>
      <c r="D48">
        <v>159</v>
      </c>
      <c r="E48">
        <v>31.899999999999999</v>
      </c>
      <c r="F48" s="3">
        <f t="shared" si="9"/>
        <v>4.9000000000000004</v>
      </c>
      <c r="G48" s="3">
        <f t="shared" si="10"/>
        <v>100</v>
      </c>
      <c r="H48" s="3">
        <v>37.5</v>
      </c>
      <c r="I48" s="3">
        <f t="shared" si="11"/>
        <v>44</v>
      </c>
      <c r="J48" s="3">
        <f t="shared" si="12"/>
        <v>5.6000000000000014</v>
      </c>
      <c r="K48" s="3">
        <f t="shared" si="13"/>
        <v>100.80000000000003</v>
      </c>
      <c r="L48" s="3">
        <f t="shared" si="14"/>
        <v>89.600000000000023</v>
      </c>
      <c r="M48" s="3">
        <f t="shared" si="15"/>
        <v>78.40000000000002</v>
      </c>
      <c r="N48" s="3">
        <f t="shared" si="16"/>
        <v>67.200000000000017</v>
      </c>
      <c r="O48" s="3">
        <f t="shared" si="17"/>
        <v>56.000000000000014</v>
      </c>
      <c r="P48" s="3"/>
      <c r="Q48" s="3">
        <v>64.540000000000006</v>
      </c>
      <c r="R48" s="3"/>
    </row>
    <row r="49" ht="14.25">
      <c r="A49">
        <v>302561</v>
      </c>
      <c r="B49">
        <v>109.33</v>
      </c>
      <c r="C49">
        <v>69.890000000000001</v>
      </c>
      <c r="D49">
        <v>159</v>
      </c>
      <c r="E49">
        <v>32.200000000000003</v>
      </c>
      <c r="F49" s="3">
        <f t="shared" si="9"/>
        <v>5</v>
      </c>
      <c r="G49" s="3">
        <f t="shared" si="10"/>
        <v>100</v>
      </c>
      <c r="H49" s="3">
        <v>37.5</v>
      </c>
      <c r="I49" s="3">
        <f t="shared" si="11"/>
        <v>44</v>
      </c>
      <c r="J49" s="3">
        <f t="shared" si="12"/>
        <v>5.2999999999999972</v>
      </c>
      <c r="K49" s="3">
        <f t="shared" si="13"/>
        <v>95.399999999999949</v>
      </c>
      <c r="L49" s="3">
        <f t="shared" si="14"/>
        <v>84.799999999999955</v>
      </c>
      <c r="M49" s="3">
        <f t="shared" si="15"/>
        <v>74.19999999999996</v>
      </c>
      <c r="N49" s="3">
        <f t="shared" si="16"/>
        <v>63.599999999999966</v>
      </c>
      <c r="O49" s="3">
        <f t="shared" si="17"/>
        <v>52.999999999999972</v>
      </c>
      <c r="P49" s="3"/>
      <c r="Q49" s="3">
        <v>65.225999999999999</v>
      </c>
      <c r="R49" s="3"/>
    </row>
    <row r="50" ht="14.25">
      <c r="A50">
        <v>308866</v>
      </c>
      <c r="B50">
        <v>105.33</v>
      </c>
      <c r="C50">
        <v>70.629999999999995</v>
      </c>
      <c r="D50">
        <v>159</v>
      </c>
      <c r="E50">
        <v>32.200000000000003</v>
      </c>
      <c r="F50" s="3">
        <f t="shared" si="9"/>
        <v>5.0999999999999996</v>
      </c>
      <c r="G50" s="3">
        <f t="shared" si="10"/>
        <v>100</v>
      </c>
      <c r="H50" s="3">
        <v>37.5</v>
      </c>
      <c r="I50" s="3">
        <f t="shared" si="11"/>
        <v>44</v>
      </c>
      <c r="J50" s="3">
        <f t="shared" si="12"/>
        <v>5.2999999999999972</v>
      </c>
      <c r="K50" s="3">
        <f t="shared" si="13"/>
        <v>95.399999999999949</v>
      </c>
      <c r="L50" s="3">
        <f t="shared" si="14"/>
        <v>84.799999999999955</v>
      </c>
      <c r="M50" s="3">
        <f t="shared" si="15"/>
        <v>74.19999999999996</v>
      </c>
      <c r="N50" s="3">
        <f t="shared" si="16"/>
        <v>63.599999999999966</v>
      </c>
      <c r="O50" s="3">
        <f t="shared" si="17"/>
        <v>52.999999999999972</v>
      </c>
      <c r="P50" s="3"/>
      <c r="Q50" s="3">
        <v>65.870000000000005</v>
      </c>
      <c r="R50" s="3"/>
    </row>
    <row r="51" ht="14.25">
      <c r="A51">
        <v>315167</v>
      </c>
      <c r="B51">
        <v>100.67</v>
      </c>
      <c r="C51">
        <v>71.329999999999998</v>
      </c>
      <c r="D51">
        <v>159</v>
      </c>
      <c r="E51">
        <v>32.5</v>
      </c>
      <c r="F51" s="3">
        <f t="shared" si="9"/>
        <v>5.2999999999999998</v>
      </c>
      <c r="G51" s="3">
        <f t="shared" si="10"/>
        <v>100</v>
      </c>
      <c r="H51" s="3">
        <v>37.5</v>
      </c>
      <c r="I51" s="3">
        <f t="shared" si="11"/>
        <v>44</v>
      </c>
      <c r="J51" s="3">
        <f t="shared" si="12"/>
        <v>5</v>
      </c>
      <c r="K51" s="3">
        <f t="shared" si="13"/>
        <v>90</v>
      </c>
      <c r="L51" s="3">
        <f t="shared" si="14"/>
        <v>80</v>
      </c>
      <c r="M51" s="3">
        <f t="shared" si="15"/>
        <v>70</v>
      </c>
      <c r="N51" s="3">
        <f t="shared" si="16"/>
        <v>60</v>
      </c>
      <c r="O51" s="3">
        <f t="shared" si="17"/>
        <v>50</v>
      </c>
      <c r="P51" s="3"/>
      <c r="Q51" s="3">
        <v>66.430000000000007</v>
      </c>
      <c r="R51" s="3"/>
    </row>
    <row r="52" ht="14.25">
      <c r="A52">
        <v>321471</v>
      </c>
      <c r="B52">
        <v>96</v>
      </c>
      <c r="C52">
        <v>72.010000000000005</v>
      </c>
      <c r="D52">
        <v>159</v>
      </c>
      <c r="E52">
        <v>32.799999999999997</v>
      </c>
      <c r="F52" s="3">
        <f t="shared" si="9"/>
        <v>5.4000000000000004</v>
      </c>
      <c r="G52" s="3">
        <f t="shared" si="10"/>
        <v>100</v>
      </c>
      <c r="H52" s="3">
        <v>37.5</v>
      </c>
      <c r="I52" s="3">
        <f t="shared" si="11"/>
        <v>44</v>
      </c>
      <c r="J52" s="3">
        <f t="shared" si="12"/>
        <v>4.7000000000000028</v>
      </c>
      <c r="K52" s="3">
        <f t="shared" si="13"/>
        <v>84.600000000000051</v>
      </c>
      <c r="L52" s="3">
        <f t="shared" si="14"/>
        <v>75.200000000000045</v>
      </c>
      <c r="M52" s="3">
        <f t="shared" si="15"/>
        <v>65.80000000000004</v>
      </c>
      <c r="N52" s="3">
        <f t="shared" si="16"/>
        <v>56.400000000000034</v>
      </c>
      <c r="O52" s="3">
        <f t="shared" si="17"/>
        <v>47.000000000000028</v>
      </c>
      <c r="P52" s="3"/>
      <c r="Q52" s="3">
        <v>67.031999999999996</v>
      </c>
      <c r="R52" s="3"/>
    </row>
    <row r="53" ht="14.25">
      <c r="A53">
        <v>327775</v>
      </c>
      <c r="B53">
        <v>88</v>
      </c>
      <c r="C53">
        <v>72.620000000000005</v>
      </c>
      <c r="D53">
        <v>159</v>
      </c>
      <c r="E53">
        <v>33.299999999999997</v>
      </c>
      <c r="F53" s="3">
        <f t="shared" si="9"/>
        <v>5.5</v>
      </c>
      <c r="G53" s="3">
        <f t="shared" si="10"/>
        <v>100</v>
      </c>
      <c r="H53" s="3">
        <v>37.5</v>
      </c>
      <c r="I53" s="3">
        <f t="shared" si="11"/>
        <v>44</v>
      </c>
      <c r="J53" s="3">
        <f t="shared" si="12"/>
        <v>4.2000000000000028</v>
      </c>
      <c r="K53" s="3">
        <f t="shared" si="13"/>
        <v>75.600000000000051</v>
      </c>
      <c r="L53" s="3">
        <f t="shared" si="14"/>
        <v>67.200000000000045</v>
      </c>
      <c r="M53" s="3">
        <f t="shared" si="15"/>
        <v>58.80000000000004</v>
      </c>
      <c r="N53" s="3">
        <f t="shared" si="16"/>
        <v>50.400000000000034</v>
      </c>
      <c r="O53" s="3">
        <f t="shared" si="17"/>
        <v>42.000000000000028</v>
      </c>
      <c r="P53" s="3"/>
      <c r="Q53" s="3">
        <v>67.605999999999995</v>
      </c>
      <c r="R53" s="3"/>
    </row>
    <row r="54" ht="14.25">
      <c r="A54">
        <v>334078</v>
      </c>
      <c r="B54">
        <v>85.329999999999998</v>
      </c>
      <c r="C54">
        <v>73.219999999999999</v>
      </c>
      <c r="D54">
        <v>158</v>
      </c>
      <c r="E54">
        <v>33.299999999999997</v>
      </c>
      <c r="F54" s="3">
        <f t="shared" si="9"/>
        <v>5.5999999999999996</v>
      </c>
      <c r="G54" s="3">
        <f t="shared" si="10"/>
        <v>99.400000000000006</v>
      </c>
      <c r="H54" s="3">
        <v>37.5</v>
      </c>
      <c r="I54" s="3">
        <f t="shared" si="11"/>
        <v>43.700000000000003</v>
      </c>
      <c r="J54" s="3">
        <f t="shared" si="12"/>
        <v>4.2000000000000028</v>
      </c>
      <c r="K54" s="3">
        <f t="shared" si="13"/>
        <v>75.600000000000051</v>
      </c>
      <c r="L54" s="3">
        <f t="shared" si="14"/>
        <v>67.200000000000045</v>
      </c>
      <c r="M54" s="3">
        <f t="shared" si="15"/>
        <v>58.80000000000004</v>
      </c>
      <c r="N54" s="3">
        <f t="shared" si="16"/>
        <v>50.400000000000034</v>
      </c>
      <c r="O54" s="3">
        <f t="shared" si="17"/>
        <v>42.000000000000028</v>
      </c>
      <c r="P54" s="3"/>
      <c r="Q54" s="3">
        <v>68.096000000000004</v>
      </c>
      <c r="R54" s="3"/>
    </row>
    <row r="55" ht="14.25">
      <c r="A55">
        <v>340382</v>
      </c>
      <c r="B55">
        <v>78</v>
      </c>
      <c r="C55">
        <v>73.769999999999996</v>
      </c>
      <c r="D55">
        <v>151</v>
      </c>
      <c r="E55">
        <v>33.799999999999997</v>
      </c>
      <c r="F55" s="3">
        <f t="shared" si="9"/>
        <v>5.7000000000000002</v>
      </c>
      <c r="G55" s="3">
        <f t="shared" si="10"/>
        <v>95</v>
      </c>
      <c r="H55" s="3">
        <v>37.5</v>
      </c>
      <c r="I55" s="3">
        <f t="shared" si="11"/>
        <v>41.799999999999997</v>
      </c>
      <c r="J55" s="3">
        <f t="shared" si="12"/>
        <v>3.7000000000000028</v>
      </c>
      <c r="K55" s="3">
        <f t="shared" si="13"/>
        <v>66.600000000000051</v>
      </c>
      <c r="L55" s="3">
        <f t="shared" si="14"/>
        <v>59.200000000000045</v>
      </c>
      <c r="M55" s="3">
        <f t="shared" si="15"/>
        <v>51.80000000000004</v>
      </c>
      <c r="N55" s="3">
        <f t="shared" si="16"/>
        <v>44.400000000000034</v>
      </c>
      <c r="O55" s="3">
        <f t="shared" si="17"/>
        <v>37.000000000000028</v>
      </c>
      <c r="P55" s="3"/>
      <c r="Q55" s="3">
        <v>68.572000000000003</v>
      </c>
      <c r="R55" s="3"/>
    </row>
    <row r="56" ht="14.25">
      <c r="A56">
        <v>346686</v>
      </c>
      <c r="B56">
        <v>72</v>
      </c>
      <c r="C56">
        <v>74.269999999999996</v>
      </c>
      <c r="D56">
        <v>146</v>
      </c>
      <c r="E56">
        <v>34.100000000000001</v>
      </c>
      <c r="F56" s="3">
        <f t="shared" si="9"/>
        <v>5.7999999999999998</v>
      </c>
      <c r="G56" s="3">
        <f t="shared" si="10"/>
        <v>91.799999999999997</v>
      </c>
      <c r="H56" s="3">
        <v>37.5</v>
      </c>
      <c r="I56" s="3">
        <f t="shared" si="11"/>
        <v>40.399999999999999</v>
      </c>
      <c r="J56" s="3">
        <f t="shared" si="12"/>
        <v>3.3999999999999986</v>
      </c>
      <c r="K56" s="3">
        <f t="shared" si="13"/>
        <v>61.199999999999974</v>
      </c>
      <c r="L56" s="3">
        <f t="shared" si="14"/>
        <v>54.399999999999977</v>
      </c>
      <c r="M56" s="3">
        <f t="shared" si="15"/>
        <v>47.59999999999998</v>
      </c>
      <c r="N56" s="3">
        <f t="shared" si="16"/>
        <v>40.799999999999983</v>
      </c>
      <c r="O56" s="3">
        <f t="shared" si="17"/>
        <v>33.999999999999986</v>
      </c>
      <c r="P56" s="3"/>
      <c r="Q56" s="3">
        <v>69.019999999999996</v>
      </c>
      <c r="R56" s="3"/>
    </row>
    <row r="57" ht="14.25">
      <c r="A57">
        <v>352990</v>
      </c>
      <c r="B57">
        <v>72</v>
      </c>
      <c r="C57">
        <v>74.769999999999996</v>
      </c>
      <c r="D57">
        <v>146</v>
      </c>
      <c r="E57">
        <v>34</v>
      </c>
      <c r="F57" s="3">
        <f t="shared" si="9"/>
        <v>5.9000000000000004</v>
      </c>
      <c r="G57" s="3">
        <f t="shared" si="10"/>
        <v>91.799999999999997</v>
      </c>
      <c r="H57" s="3">
        <v>37.5</v>
      </c>
      <c r="I57" s="3">
        <f t="shared" si="11"/>
        <v>40.399999999999999</v>
      </c>
      <c r="J57" s="3">
        <f t="shared" si="12"/>
        <v>3.5</v>
      </c>
      <c r="K57" s="3">
        <f t="shared" si="13"/>
        <v>63</v>
      </c>
      <c r="L57" s="3">
        <f t="shared" si="14"/>
        <v>56</v>
      </c>
      <c r="M57" s="3">
        <f t="shared" si="15"/>
        <v>49</v>
      </c>
      <c r="N57" s="3">
        <f t="shared" si="16"/>
        <v>42</v>
      </c>
      <c r="O57" s="3">
        <f t="shared" si="17"/>
        <v>35</v>
      </c>
      <c r="P57" s="3"/>
      <c r="Q57" s="3">
        <v>69.397999999999996</v>
      </c>
      <c r="R57" s="3"/>
    </row>
    <row r="58" ht="14.25">
      <c r="A58">
        <v>359292</v>
      </c>
      <c r="B58">
        <v>64.670000000000002</v>
      </c>
      <c r="C58">
        <v>75.230000000000004</v>
      </c>
      <c r="D58">
        <v>139</v>
      </c>
      <c r="E58">
        <v>34.299999999999997</v>
      </c>
      <c r="F58" s="3">
        <f t="shared" si="9"/>
        <v>6</v>
      </c>
      <c r="G58" s="3">
        <f t="shared" si="10"/>
        <v>87.400000000000006</v>
      </c>
      <c r="H58" s="3">
        <v>37.5</v>
      </c>
      <c r="I58" s="3">
        <f t="shared" si="11"/>
        <v>38.5</v>
      </c>
      <c r="J58" s="3">
        <f t="shared" si="12"/>
        <v>3.2000000000000028</v>
      </c>
      <c r="K58" s="3">
        <f t="shared" si="13"/>
        <v>57.600000000000051</v>
      </c>
      <c r="L58" s="3">
        <f t="shared" si="14"/>
        <v>51.200000000000045</v>
      </c>
      <c r="M58" s="3">
        <f t="shared" si="15"/>
        <v>44.80000000000004</v>
      </c>
      <c r="N58" s="3">
        <f t="shared" si="16"/>
        <v>38.400000000000034</v>
      </c>
      <c r="O58" s="3">
        <f t="shared" si="17"/>
        <v>32.000000000000028</v>
      </c>
      <c r="P58" s="3"/>
      <c r="Q58" s="3">
        <v>69.775999999999996</v>
      </c>
      <c r="R58" s="3"/>
    </row>
    <row r="59" ht="14.25">
      <c r="A59">
        <v>365594</v>
      </c>
      <c r="B59">
        <v>60</v>
      </c>
      <c r="C59">
        <v>75.650000000000006</v>
      </c>
      <c r="D59">
        <v>135</v>
      </c>
      <c r="E59">
        <v>34.600000000000001</v>
      </c>
      <c r="F59" s="3">
        <f t="shared" si="9"/>
        <v>6.0999999999999996</v>
      </c>
      <c r="G59" s="3">
        <f t="shared" si="10"/>
        <v>84.900000000000006</v>
      </c>
      <c r="H59" s="3">
        <v>37.5</v>
      </c>
      <c r="I59" s="3">
        <f t="shared" si="11"/>
        <v>37.399999999999999</v>
      </c>
      <c r="J59" s="3">
        <f t="shared" si="12"/>
        <v>2.8999999999999986</v>
      </c>
      <c r="K59" s="3">
        <f t="shared" si="13"/>
        <v>52.199999999999974</v>
      </c>
      <c r="L59" s="3">
        <f t="shared" si="14"/>
        <v>46.399999999999977</v>
      </c>
      <c r="M59" s="3">
        <f t="shared" si="15"/>
        <v>40.59999999999998</v>
      </c>
      <c r="N59" s="3">
        <f t="shared" si="16"/>
        <v>34.799999999999983</v>
      </c>
      <c r="O59" s="3">
        <f t="shared" si="17"/>
        <v>28.999999999999986</v>
      </c>
      <c r="P59" s="3"/>
      <c r="Q59" s="3">
        <v>70.069999999999993</v>
      </c>
      <c r="R59" s="3"/>
    </row>
    <row r="60" ht="14.25">
      <c r="A60">
        <v>371898</v>
      </c>
      <c r="B60">
        <v>56</v>
      </c>
      <c r="C60">
        <v>76.040000000000006</v>
      </c>
      <c r="D60">
        <v>132</v>
      </c>
      <c r="E60">
        <v>34.799999999999997</v>
      </c>
      <c r="F60" s="3">
        <f t="shared" si="9"/>
        <v>6.2000000000000002</v>
      </c>
      <c r="G60" s="3">
        <f t="shared" si="10"/>
        <v>83</v>
      </c>
      <c r="H60" s="3">
        <v>37.5</v>
      </c>
      <c r="I60" s="3">
        <f t="shared" si="11"/>
        <v>36.5</v>
      </c>
      <c r="J60" s="3">
        <f t="shared" si="12"/>
        <v>2.7000000000000028</v>
      </c>
      <c r="K60" s="3">
        <f t="shared" si="13"/>
        <v>48.600000000000051</v>
      </c>
      <c r="L60" s="3">
        <f t="shared" si="14"/>
        <v>43.200000000000045</v>
      </c>
      <c r="M60" s="3">
        <f t="shared" si="15"/>
        <v>37.80000000000004</v>
      </c>
      <c r="N60" s="3">
        <f t="shared" si="16"/>
        <v>32.400000000000034</v>
      </c>
      <c r="O60" s="3">
        <f t="shared" si="17"/>
        <v>27.000000000000028</v>
      </c>
      <c r="P60" s="3"/>
      <c r="Q60" s="3">
        <v>70.349999999999994</v>
      </c>
      <c r="R60" s="3"/>
    </row>
    <row r="61" ht="14.25">
      <c r="A61">
        <v>378202</v>
      </c>
      <c r="B61">
        <v>50.670000000000002</v>
      </c>
      <c r="C61">
        <v>76.390000000000001</v>
      </c>
      <c r="D61">
        <v>127</v>
      </c>
      <c r="E61">
        <v>35.100000000000001</v>
      </c>
      <c r="F61" s="3">
        <f t="shared" si="9"/>
        <v>6.2999999999999998</v>
      </c>
      <c r="G61" s="3">
        <f t="shared" si="10"/>
        <v>79.900000000000006</v>
      </c>
      <c r="H61" s="3">
        <v>37.5</v>
      </c>
      <c r="I61" s="3">
        <f t="shared" si="11"/>
        <v>35.100000000000001</v>
      </c>
      <c r="J61" s="3">
        <f t="shared" si="12"/>
        <v>2.3999999999999986</v>
      </c>
      <c r="K61" s="3">
        <f t="shared" si="13"/>
        <v>43.199999999999974</v>
      </c>
      <c r="L61" s="3">
        <f t="shared" si="14"/>
        <v>38.399999999999977</v>
      </c>
      <c r="M61" s="3">
        <f t="shared" si="15"/>
        <v>33.59999999999998</v>
      </c>
      <c r="N61" s="3">
        <f t="shared" si="16"/>
        <v>28.799999999999983</v>
      </c>
      <c r="O61" s="3">
        <f t="shared" si="17"/>
        <v>23.999999999999986</v>
      </c>
      <c r="P61" s="3"/>
      <c r="Q61" s="3">
        <v>70.658000000000001</v>
      </c>
      <c r="R61" s="3"/>
    </row>
    <row r="62" ht="14.25">
      <c r="A62">
        <v>384504</v>
      </c>
      <c r="B62">
        <v>44</v>
      </c>
      <c r="C62">
        <v>76.700000000000003</v>
      </c>
      <c r="D62">
        <v>120</v>
      </c>
      <c r="E62">
        <v>35.5</v>
      </c>
      <c r="F62" s="3">
        <f t="shared" si="9"/>
        <v>6.4000000000000004</v>
      </c>
      <c r="G62" s="3">
        <f t="shared" si="10"/>
        <v>75.5</v>
      </c>
      <c r="H62" s="3">
        <v>37.5</v>
      </c>
      <c r="I62" s="3">
        <f t="shared" si="11"/>
        <v>33.200000000000003</v>
      </c>
      <c r="J62" s="3">
        <f t="shared" si="12"/>
        <v>2</v>
      </c>
      <c r="K62" s="3">
        <f t="shared" si="13"/>
        <v>36</v>
      </c>
      <c r="L62" s="3">
        <f t="shared" si="14"/>
        <v>32</v>
      </c>
      <c r="M62" s="3">
        <f t="shared" si="15"/>
        <v>28</v>
      </c>
      <c r="N62" s="3">
        <f t="shared" si="16"/>
        <v>24</v>
      </c>
      <c r="O62" s="3">
        <f t="shared" si="17"/>
        <v>20</v>
      </c>
      <c r="P62" s="3"/>
      <c r="Q62" s="3">
        <v>70.909999999999997</v>
      </c>
      <c r="R62" s="3"/>
    </row>
    <row r="63" ht="14.25">
      <c r="A63">
        <v>390806</v>
      </c>
      <c r="B63">
        <v>39.329999999999998</v>
      </c>
      <c r="C63">
        <v>76.980000000000004</v>
      </c>
      <c r="D63">
        <v>116</v>
      </c>
      <c r="E63">
        <v>35.700000000000003</v>
      </c>
      <c r="F63" s="3">
        <f t="shared" si="9"/>
        <v>6.5</v>
      </c>
      <c r="G63" s="3">
        <f t="shared" si="10"/>
        <v>73</v>
      </c>
      <c r="H63" s="3">
        <v>37.5</v>
      </c>
      <c r="I63" s="3">
        <f t="shared" si="11"/>
        <v>32.100000000000001</v>
      </c>
      <c r="J63" s="3">
        <f t="shared" si="12"/>
        <v>1.7999999999999972</v>
      </c>
      <c r="K63" s="3">
        <f t="shared" si="13"/>
        <v>32.399999999999949</v>
      </c>
      <c r="L63" s="3">
        <f t="shared" si="14"/>
        <v>28.799999999999955</v>
      </c>
      <c r="M63" s="3">
        <f t="shared" si="15"/>
        <v>25.19999999999996</v>
      </c>
      <c r="N63" s="3">
        <f t="shared" si="16"/>
        <v>21.599999999999966</v>
      </c>
      <c r="O63" s="3">
        <f t="shared" si="17"/>
        <v>17.999999999999972</v>
      </c>
      <c r="P63" s="3"/>
      <c r="Q63" s="3">
        <v>71.078000000000003</v>
      </c>
      <c r="R63" s="3"/>
    </row>
    <row r="64" ht="14.25">
      <c r="A64">
        <v>397110</v>
      </c>
      <c r="B64">
        <v>36</v>
      </c>
      <c r="C64">
        <v>77.230000000000004</v>
      </c>
      <c r="D64">
        <v>113</v>
      </c>
      <c r="E64">
        <v>35.899999999999999</v>
      </c>
      <c r="F64" s="3">
        <f t="shared" si="9"/>
        <v>6.5999999999999996</v>
      </c>
      <c r="G64" s="3">
        <f t="shared" si="10"/>
        <v>71.099999999999994</v>
      </c>
      <c r="H64" s="3">
        <v>37.5</v>
      </c>
      <c r="I64" s="3">
        <f t="shared" si="11"/>
        <v>31.300000000000001</v>
      </c>
      <c r="J64" s="3">
        <f t="shared" si="12"/>
        <v>1.6000000000000014</v>
      </c>
      <c r="K64" s="3">
        <f t="shared" si="13"/>
        <v>28.800000000000026</v>
      </c>
      <c r="L64" s="3">
        <f t="shared" si="14"/>
        <v>25.600000000000023</v>
      </c>
      <c r="M64" s="3">
        <f t="shared" si="15"/>
        <v>22.40000000000002</v>
      </c>
      <c r="N64" s="3">
        <f t="shared" si="16"/>
        <v>19.200000000000017</v>
      </c>
      <c r="O64" s="3">
        <f t="shared" si="17"/>
        <v>16.000000000000014</v>
      </c>
      <c r="P64" s="3"/>
      <c r="Q64" s="3">
        <v>71.245999999999995</v>
      </c>
      <c r="R64" s="3"/>
    </row>
    <row r="65" ht="14.25">
      <c r="A65">
        <v>403412</v>
      </c>
      <c r="B65">
        <v>32</v>
      </c>
      <c r="C65">
        <v>77.450000000000003</v>
      </c>
      <c r="D65">
        <v>109</v>
      </c>
      <c r="E65">
        <v>36</v>
      </c>
      <c r="F65" s="3">
        <f t="shared" si="9"/>
        <v>6.7000000000000002</v>
      </c>
      <c r="G65" s="3">
        <f t="shared" si="10"/>
        <v>68.599999999999994</v>
      </c>
      <c r="H65" s="3">
        <v>37.5</v>
      </c>
      <c r="I65" s="3">
        <f t="shared" si="11"/>
        <v>30.199999999999999</v>
      </c>
      <c r="J65" s="3">
        <f t="shared" si="12"/>
        <v>1.5</v>
      </c>
      <c r="K65" s="3">
        <f t="shared" si="13"/>
        <v>27</v>
      </c>
      <c r="L65" s="3">
        <f t="shared" si="14"/>
        <v>24</v>
      </c>
      <c r="M65" s="3">
        <f t="shared" si="15"/>
        <v>21</v>
      </c>
      <c r="N65" s="3">
        <f t="shared" si="16"/>
        <v>18</v>
      </c>
      <c r="O65" s="3">
        <f t="shared" si="17"/>
        <v>15</v>
      </c>
      <c r="P65" s="3"/>
      <c r="Q65" s="3">
        <v>71.385999999999996</v>
      </c>
      <c r="R65" s="3"/>
    </row>
    <row r="66" ht="14.25">
      <c r="A66">
        <v>409715</v>
      </c>
      <c r="B66">
        <v>27.329999999999998</v>
      </c>
      <c r="C66">
        <v>77.640000000000001</v>
      </c>
      <c r="D66">
        <v>104</v>
      </c>
      <c r="E66">
        <v>36.200000000000003</v>
      </c>
      <c r="F66" s="3">
        <f t="shared" si="9"/>
        <v>6.7999999999999998</v>
      </c>
      <c r="G66" s="3">
        <f t="shared" si="10"/>
        <v>65.400000000000006</v>
      </c>
      <c r="H66" s="3">
        <v>37.5</v>
      </c>
      <c r="I66" s="3">
        <f t="shared" si="11"/>
        <v>28.800000000000001</v>
      </c>
      <c r="J66" s="3">
        <f t="shared" si="12"/>
        <v>1.2999999999999972</v>
      </c>
      <c r="K66" s="3">
        <f t="shared" si="13"/>
        <v>23.399999999999949</v>
      </c>
      <c r="L66" s="3">
        <f t="shared" si="14"/>
        <v>20.799999999999955</v>
      </c>
      <c r="M66" s="3">
        <f t="shared" si="15"/>
        <v>18.19999999999996</v>
      </c>
      <c r="N66" s="3">
        <f t="shared" si="16"/>
        <v>15.599999999999966</v>
      </c>
      <c r="O66" s="3">
        <f t="shared" si="17"/>
        <v>12.999999999999972</v>
      </c>
      <c r="P66" s="3"/>
      <c r="Q66" s="3">
        <v>71.469999999999999</v>
      </c>
      <c r="R66" s="3"/>
    </row>
    <row r="67" ht="14.25">
      <c r="A67">
        <v>416019</v>
      </c>
      <c r="B67">
        <v>24.670000000000002</v>
      </c>
      <c r="C67">
        <v>77.819999999999993</v>
      </c>
      <c r="D67">
        <v>102</v>
      </c>
      <c r="E67">
        <v>36.399999999999999</v>
      </c>
      <c r="F67" s="3">
        <f t="shared" si="9"/>
        <v>6.9000000000000004</v>
      </c>
      <c r="G67" s="3">
        <f t="shared" si="10"/>
        <v>64.200000000000003</v>
      </c>
      <c r="H67" s="3">
        <v>37.5</v>
      </c>
      <c r="I67" s="3">
        <f t="shared" si="11"/>
        <v>28.199999999999999</v>
      </c>
      <c r="J67" s="3">
        <f t="shared" si="12"/>
        <v>1.1000000000000014</v>
      </c>
      <c r="K67" s="3">
        <f t="shared" si="13"/>
        <v>19.800000000000026</v>
      </c>
      <c r="L67" s="3">
        <f t="shared" si="14"/>
        <v>17.600000000000023</v>
      </c>
      <c r="M67" s="3">
        <f t="shared" si="15"/>
        <v>15.40000000000002</v>
      </c>
      <c r="N67" s="3">
        <f t="shared" si="16"/>
        <v>13.200000000000017</v>
      </c>
      <c r="O67" s="3">
        <f t="shared" si="17"/>
        <v>11.000000000000014</v>
      </c>
      <c r="P67" s="3"/>
      <c r="Q67" s="3">
        <v>71.540000000000006</v>
      </c>
      <c r="R67" s="3"/>
    </row>
    <row r="68" ht="14.25">
      <c r="A68">
        <v>422324</v>
      </c>
      <c r="B68">
        <v>16</v>
      </c>
      <c r="C68">
        <v>77.930000000000007</v>
      </c>
      <c r="D68">
        <v>93</v>
      </c>
      <c r="E68">
        <v>36.700000000000003</v>
      </c>
      <c r="F68" s="3">
        <f t="shared" si="9"/>
        <v>7</v>
      </c>
      <c r="G68" s="3">
        <f t="shared" si="10"/>
        <v>58.5</v>
      </c>
      <c r="H68" s="3">
        <v>37.5</v>
      </c>
      <c r="I68" s="3">
        <f t="shared" si="11"/>
        <v>25.699999999999999</v>
      </c>
      <c r="J68" s="3">
        <f t="shared" si="12"/>
        <v>0.79999999999999716</v>
      </c>
      <c r="K68" s="3">
        <f t="shared" si="13"/>
        <v>14.399999999999949</v>
      </c>
      <c r="L68" s="3">
        <f t="shared" si="14"/>
        <v>12.799999999999955</v>
      </c>
      <c r="M68" s="3">
        <f t="shared" si="15"/>
        <v>11.19999999999996</v>
      </c>
      <c r="N68" s="3">
        <f t="shared" si="16"/>
        <v>9.5999999999999659</v>
      </c>
      <c r="O68" s="3">
        <f t="shared" si="17"/>
        <v>7.9999999999999716</v>
      </c>
      <c r="P68" s="3"/>
      <c r="Q68" s="3">
        <v>71.567999999999998</v>
      </c>
      <c r="R68" s="3"/>
    </row>
    <row r="69" ht="14.25">
      <c r="A69">
        <v>428626</v>
      </c>
      <c r="B69">
        <v>14.67</v>
      </c>
      <c r="C69">
        <v>78.030000000000001</v>
      </c>
      <c r="D69">
        <v>92</v>
      </c>
      <c r="E69">
        <v>36.799999999999997</v>
      </c>
      <c r="F69" s="3">
        <f t="shared" si="9"/>
        <v>7.0999999999999996</v>
      </c>
      <c r="G69" s="3">
        <f t="shared" si="10"/>
        <v>57.899999999999999</v>
      </c>
      <c r="H69" s="3">
        <v>37.5</v>
      </c>
      <c r="I69" s="3">
        <f t="shared" si="11"/>
        <v>25.5</v>
      </c>
      <c r="J69" s="3">
        <f t="shared" si="12"/>
        <v>0.70000000000000284</v>
      </c>
      <c r="K69" s="3">
        <f t="shared" si="13"/>
        <v>12.600000000000051</v>
      </c>
      <c r="L69" s="3">
        <f t="shared" si="14"/>
        <v>11.200000000000045</v>
      </c>
      <c r="M69" s="3">
        <f t="shared" si="15"/>
        <v>9.8000000000000398</v>
      </c>
      <c r="N69" s="3">
        <f t="shared" si="16"/>
        <v>8.4000000000000341</v>
      </c>
      <c r="O69" s="3">
        <f t="shared" si="17"/>
        <v>7.0000000000000284</v>
      </c>
      <c r="P69" s="3"/>
      <c r="Q69" s="3">
        <v>71.567999999999998</v>
      </c>
      <c r="R69" s="3"/>
    </row>
    <row r="70" ht="14.25">
      <c r="A70">
        <v>434931</v>
      </c>
      <c r="B70">
        <v>8.6699999999999999</v>
      </c>
      <c r="C70">
        <v>78.090000000000003</v>
      </c>
      <c r="D70">
        <v>86</v>
      </c>
      <c r="E70">
        <v>37.100000000000001</v>
      </c>
      <c r="F70" s="3">
        <f t="shared" si="9"/>
        <v>7.2000000000000002</v>
      </c>
      <c r="G70" s="3">
        <f t="shared" si="10"/>
        <v>54.100000000000001</v>
      </c>
      <c r="H70" s="3">
        <v>37.5</v>
      </c>
      <c r="I70" s="3">
        <f t="shared" si="11"/>
        <v>23.800000000000001</v>
      </c>
      <c r="J70" s="3">
        <f t="shared" si="12"/>
        <v>0.39999999999999858</v>
      </c>
      <c r="K70" s="3">
        <f t="shared" si="13"/>
        <v>7.1999999999999744</v>
      </c>
      <c r="L70" s="3">
        <f t="shared" si="14"/>
        <v>6.3999999999999773</v>
      </c>
      <c r="M70" s="3">
        <f t="shared" si="15"/>
        <v>5.5999999999999801</v>
      </c>
      <c r="N70" s="3">
        <f t="shared" si="16"/>
        <v>4.7999999999999829</v>
      </c>
      <c r="O70" s="3">
        <f t="shared" si="17"/>
        <v>3.9999999999999858</v>
      </c>
      <c r="P70" s="3"/>
      <c r="Q70" s="3">
        <v>71.540000000000006</v>
      </c>
      <c r="R70" s="3"/>
    </row>
    <row r="71" ht="14.25">
      <c r="A71">
        <v>441233</v>
      </c>
      <c r="B71">
        <v>6</v>
      </c>
      <c r="C71">
        <v>78.129999999999995</v>
      </c>
      <c r="D71">
        <v>84</v>
      </c>
      <c r="E71">
        <v>37.399999999999999</v>
      </c>
      <c r="F71" s="3">
        <f t="shared" si="9"/>
        <v>7.4000000000000004</v>
      </c>
      <c r="G71" s="3">
        <f t="shared" si="10"/>
        <v>52.799999999999997</v>
      </c>
      <c r="H71" s="3">
        <v>37.5</v>
      </c>
      <c r="I71" s="3">
        <f t="shared" si="11"/>
        <v>23.199999999999999</v>
      </c>
      <c r="J71" s="3">
        <f t="shared" si="12"/>
        <v>0.10000000000000142</v>
      </c>
      <c r="K71" s="3">
        <f t="shared" si="13"/>
        <v>1.8000000000000256</v>
      </c>
      <c r="L71" s="3">
        <f t="shared" si="14"/>
        <v>1.6000000000000227</v>
      </c>
      <c r="M71" s="3">
        <f t="shared" si="15"/>
        <v>1.4000000000000199</v>
      </c>
      <c r="N71" s="3">
        <f t="shared" si="16"/>
        <v>1.2000000000000171</v>
      </c>
      <c r="O71" s="3">
        <f t="shared" si="17"/>
        <v>1.0000000000000142</v>
      </c>
      <c r="P71" s="3"/>
      <c r="Q71" s="3">
        <v>71.441999999999993</v>
      </c>
      <c r="R71" s="3"/>
    </row>
    <row r="72" ht="14.25">
      <c r="A72">
        <v>447538</v>
      </c>
      <c r="B72">
        <v>2.6699999999999999</v>
      </c>
      <c r="C72">
        <v>78.150000000000006</v>
      </c>
      <c r="D72">
        <v>80</v>
      </c>
      <c r="E72">
        <v>37.5</v>
      </c>
      <c r="F72" s="3">
        <f t="shared" si="9"/>
        <v>7.5</v>
      </c>
      <c r="G72" s="3">
        <f t="shared" si="10"/>
        <v>50.299999999999997</v>
      </c>
      <c r="H72" s="3">
        <v>37.5</v>
      </c>
      <c r="I72" s="3">
        <f t="shared" si="11"/>
        <v>22.100000000000001</v>
      </c>
      <c r="J72" s="3">
        <f t="shared" si="12"/>
        <v>0</v>
      </c>
      <c r="K72" s="3">
        <f t="shared" si="13"/>
        <v>0</v>
      </c>
      <c r="L72" s="3">
        <f t="shared" si="14"/>
        <v>0</v>
      </c>
      <c r="M72" s="3">
        <f t="shared" si="15"/>
        <v>0</v>
      </c>
      <c r="N72" s="3">
        <f t="shared" si="16"/>
        <v>0</v>
      </c>
      <c r="O72" s="3">
        <f t="shared" si="17"/>
        <v>0</v>
      </c>
      <c r="P72" s="3"/>
      <c r="Q72" s="3">
        <v>71.372</v>
      </c>
      <c r="R72" s="3"/>
    </row>
    <row r="73" ht="14.25">
      <c r="A73">
        <v>453840</v>
      </c>
      <c r="B73">
        <v>0</v>
      </c>
      <c r="C73">
        <v>78.150000000000006</v>
      </c>
      <c r="D73">
        <v>78</v>
      </c>
      <c r="E73">
        <v>37.600000000000001</v>
      </c>
      <c r="F73" s="3">
        <f t="shared" si="9"/>
        <v>7.5999999999999996</v>
      </c>
      <c r="G73" s="3">
        <f t="shared" si="10"/>
        <v>49.100000000000001</v>
      </c>
      <c r="H73" s="3">
        <v>37.5</v>
      </c>
      <c r="I73" s="3">
        <f t="shared" si="11"/>
        <v>21.600000000000001</v>
      </c>
      <c r="J73" s="3">
        <f t="shared" si="12"/>
        <v>-0.10000000000000142</v>
      </c>
      <c r="K73" s="3">
        <f t="shared" si="13"/>
        <v>-1.8000000000000256</v>
      </c>
      <c r="L73" s="3">
        <f t="shared" si="14"/>
        <v>-1.6000000000000227</v>
      </c>
      <c r="M73" s="3">
        <f t="shared" si="15"/>
        <v>-1.4000000000000199</v>
      </c>
      <c r="N73" s="3">
        <f t="shared" si="16"/>
        <v>-1.2000000000000171</v>
      </c>
      <c r="O73" s="3">
        <f t="shared" si="17"/>
        <v>-1.0000000000000142</v>
      </c>
      <c r="P73" s="3"/>
      <c r="Q73" s="3">
        <v>71.218000000000004</v>
      </c>
      <c r="R73" s="3"/>
    </row>
    <row r="74" ht="14.25">
      <c r="A74">
        <v>460143</v>
      </c>
      <c r="B74">
        <v>-5.3300000000000001</v>
      </c>
      <c r="C74">
        <v>78.120000000000005</v>
      </c>
      <c r="D74">
        <v>72</v>
      </c>
      <c r="E74">
        <v>37.899999999999999</v>
      </c>
      <c r="F74" s="3">
        <f t="shared" ref="F74:F99" si="18">ROUND(A74/60000,1)</f>
        <v>7.7000000000000002</v>
      </c>
      <c r="G74" s="3">
        <f t="shared" ref="G74:G99" si="19">ROUND((D74/159)*100,1)</f>
        <v>45.299999999999997</v>
      </c>
      <c r="H74" s="3">
        <v>37.5</v>
      </c>
      <c r="I74" s="3">
        <f t="shared" ref="I74:I99" si="20">ROUND((D74/159)*44,1)</f>
        <v>19.899999999999999</v>
      </c>
      <c r="J74" s="3">
        <f t="shared" ref="J74:J99" si="21">37.5-E74</f>
        <v>-0.39999999999999858</v>
      </c>
      <c r="K74" s="3">
        <f t="shared" ref="K74:K99" si="22">J74*18</f>
        <v>-7.1999999999999744</v>
      </c>
      <c r="L74" s="3">
        <f t="shared" ref="L74:L99" si="23">J74*16</f>
        <v>-6.3999999999999773</v>
      </c>
      <c r="M74" s="3">
        <f t="shared" ref="M74:M99" si="24">J74*14</f>
        <v>-5.5999999999999801</v>
      </c>
      <c r="N74" s="3">
        <f t="shared" ref="N74:N99" si="25">J74*12</f>
        <v>-4.7999999999999829</v>
      </c>
      <c r="O74" s="3">
        <f t="shared" ref="O74:O99" si="26">J74*10</f>
        <v>-3.9999999999999858</v>
      </c>
      <c r="P74" s="3"/>
      <c r="Q74" s="3">
        <v>71.105999999999995</v>
      </c>
      <c r="R74" s="3"/>
    </row>
    <row r="75" ht="14.25">
      <c r="A75">
        <v>466446</v>
      </c>
      <c r="B75">
        <v>-10</v>
      </c>
      <c r="C75">
        <v>78.049999999999997</v>
      </c>
      <c r="D75">
        <v>68</v>
      </c>
      <c r="E75">
        <v>38.100000000000001</v>
      </c>
      <c r="F75" s="3">
        <f t="shared" si="18"/>
        <v>7.7999999999999998</v>
      </c>
      <c r="G75" s="3">
        <f t="shared" si="19"/>
        <v>42.799999999999997</v>
      </c>
      <c r="H75" s="3">
        <v>37.5</v>
      </c>
      <c r="I75" s="3">
        <f t="shared" si="20"/>
        <v>18.800000000000001</v>
      </c>
      <c r="J75" s="3">
        <f t="shared" si="21"/>
        <v>-0.60000000000000142</v>
      </c>
      <c r="K75" s="3">
        <f t="shared" si="22"/>
        <v>-10.800000000000026</v>
      </c>
      <c r="L75" s="3">
        <f t="shared" si="23"/>
        <v>-9.6000000000000227</v>
      </c>
      <c r="M75" s="3">
        <f t="shared" si="24"/>
        <v>-8.4000000000000199</v>
      </c>
      <c r="N75" s="3">
        <f t="shared" si="25"/>
        <v>-7.2000000000000171</v>
      </c>
      <c r="O75" s="3">
        <f t="shared" si="26"/>
        <v>-6.0000000000000142</v>
      </c>
      <c r="P75" s="3"/>
      <c r="Q75" s="3">
        <v>70.924000000000007</v>
      </c>
      <c r="R75" s="3"/>
    </row>
    <row r="76" ht="14.25">
      <c r="A76">
        <v>472750</v>
      </c>
      <c r="B76">
        <v>-12.67</v>
      </c>
      <c r="C76">
        <v>77.959999999999994</v>
      </c>
      <c r="D76">
        <v>65</v>
      </c>
      <c r="E76">
        <v>38.200000000000003</v>
      </c>
      <c r="F76" s="3">
        <f t="shared" si="18"/>
        <v>7.9000000000000004</v>
      </c>
      <c r="G76" s="3">
        <f t="shared" si="19"/>
        <v>40.899999999999999</v>
      </c>
      <c r="H76" s="3">
        <v>37.5</v>
      </c>
      <c r="I76" s="3">
        <f t="shared" si="20"/>
        <v>18</v>
      </c>
      <c r="J76" s="3">
        <f t="shared" si="21"/>
        <v>-0.70000000000000284</v>
      </c>
      <c r="K76" s="3">
        <f t="shared" si="22"/>
        <v>-12.600000000000051</v>
      </c>
      <c r="L76" s="3">
        <f t="shared" si="23"/>
        <v>-11.200000000000045</v>
      </c>
      <c r="M76" s="3">
        <f t="shared" si="24"/>
        <v>-9.8000000000000398</v>
      </c>
      <c r="N76" s="3">
        <f t="shared" si="25"/>
        <v>-8.4000000000000341</v>
      </c>
      <c r="O76" s="3">
        <f t="shared" si="26"/>
        <v>-7.0000000000000284</v>
      </c>
      <c r="P76" s="3"/>
      <c r="Q76" s="3">
        <v>70.727999999999994</v>
      </c>
      <c r="R76" s="3"/>
    </row>
    <row r="77" ht="14.25">
      <c r="A77">
        <v>479052</v>
      </c>
      <c r="B77">
        <v>-15.33</v>
      </c>
      <c r="C77">
        <v>77.849999999999994</v>
      </c>
      <c r="D77">
        <v>62</v>
      </c>
      <c r="E77">
        <v>38.5</v>
      </c>
      <c r="F77" s="3">
        <f t="shared" si="18"/>
        <v>8</v>
      </c>
      <c r="G77" s="3">
        <f t="shared" si="19"/>
        <v>39</v>
      </c>
      <c r="H77" s="3">
        <v>37.5</v>
      </c>
      <c r="I77" s="3">
        <f t="shared" si="20"/>
        <v>17.199999999999999</v>
      </c>
      <c r="J77" s="3">
        <f t="shared" si="21"/>
        <v>-1</v>
      </c>
      <c r="K77" s="3">
        <f t="shared" si="22"/>
        <v>-18</v>
      </c>
      <c r="L77" s="3">
        <f t="shared" si="23"/>
        <v>-16</v>
      </c>
      <c r="M77" s="3">
        <f t="shared" si="24"/>
        <v>-14</v>
      </c>
      <c r="N77" s="3">
        <f t="shared" si="25"/>
        <v>-12</v>
      </c>
      <c r="O77" s="3">
        <f t="shared" si="26"/>
        <v>-10</v>
      </c>
      <c r="P77" s="3"/>
      <c r="Q77" s="3">
        <v>70.504000000000005</v>
      </c>
      <c r="R77" s="3"/>
    </row>
    <row r="78" ht="14.25">
      <c r="A78">
        <v>485355</v>
      </c>
      <c r="B78">
        <v>-20</v>
      </c>
      <c r="C78">
        <v>77.709999999999994</v>
      </c>
      <c r="D78">
        <v>57</v>
      </c>
      <c r="E78">
        <v>38.5</v>
      </c>
      <c r="F78" s="3">
        <f t="shared" si="18"/>
        <v>8.0999999999999996</v>
      </c>
      <c r="G78" s="3">
        <f t="shared" si="19"/>
        <v>35.799999999999997</v>
      </c>
      <c r="H78" s="3">
        <v>37.5</v>
      </c>
      <c r="I78" s="3">
        <f t="shared" si="20"/>
        <v>15.800000000000001</v>
      </c>
      <c r="J78" s="3">
        <f t="shared" si="21"/>
        <v>-1</v>
      </c>
      <c r="K78" s="3">
        <f t="shared" si="22"/>
        <v>-18</v>
      </c>
      <c r="L78" s="3">
        <f t="shared" si="23"/>
        <v>-16</v>
      </c>
      <c r="M78" s="3">
        <f t="shared" si="24"/>
        <v>-14</v>
      </c>
      <c r="N78" s="3">
        <f t="shared" si="25"/>
        <v>-12</v>
      </c>
      <c r="O78" s="3">
        <f t="shared" si="26"/>
        <v>-10</v>
      </c>
      <c r="P78" s="3"/>
      <c r="Q78" s="3">
        <v>70.266000000000005</v>
      </c>
      <c r="R78" s="3"/>
    </row>
    <row r="79" ht="14.25">
      <c r="A79">
        <v>491658</v>
      </c>
      <c r="B79">
        <v>-20</v>
      </c>
      <c r="C79">
        <v>77.569999999999993</v>
      </c>
      <c r="D79">
        <v>57</v>
      </c>
      <c r="E79">
        <v>38.5</v>
      </c>
      <c r="F79" s="3">
        <f t="shared" si="18"/>
        <v>8.1999999999999993</v>
      </c>
      <c r="G79" s="3">
        <f t="shared" si="19"/>
        <v>35.799999999999997</v>
      </c>
      <c r="H79" s="3">
        <v>37.5</v>
      </c>
      <c r="I79" s="3">
        <f t="shared" si="20"/>
        <v>15.800000000000001</v>
      </c>
      <c r="J79" s="3">
        <f t="shared" si="21"/>
        <v>-1</v>
      </c>
      <c r="K79" s="3">
        <f t="shared" si="22"/>
        <v>-18</v>
      </c>
      <c r="L79" s="3">
        <f t="shared" si="23"/>
        <v>-16</v>
      </c>
      <c r="M79" s="3">
        <f t="shared" si="24"/>
        <v>-14</v>
      </c>
      <c r="N79" s="3">
        <f t="shared" si="25"/>
        <v>-12</v>
      </c>
      <c r="O79" s="3">
        <f t="shared" si="26"/>
        <v>-10</v>
      </c>
      <c r="P79" s="3"/>
      <c r="Q79" s="3">
        <v>70.042000000000002</v>
      </c>
      <c r="R79" s="3"/>
    </row>
    <row r="80" ht="14.25">
      <c r="A80">
        <v>497961</v>
      </c>
      <c r="B80">
        <v>-24</v>
      </c>
      <c r="C80">
        <v>77.400000000000006</v>
      </c>
      <c r="D80">
        <v>53</v>
      </c>
      <c r="E80">
        <v>38.700000000000003</v>
      </c>
      <c r="F80" s="3">
        <f t="shared" si="18"/>
        <v>8.3000000000000007</v>
      </c>
      <c r="G80" s="3">
        <f t="shared" si="19"/>
        <v>33.299999999999997</v>
      </c>
      <c r="H80" s="3">
        <v>37.5</v>
      </c>
      <c r="I80" s="3">
        <f t="shared" si="20"/>
        <v>14.699999999999999</v>
      </c>
      <c r="J80" s="3">
        <f t="shared" si="21"/>
        <v>-1.2000000000000028</v>
      </c>
      <c r="K80" s="3">
        <f t="shared" si="22"/>
        <v>-21.600000000000051</v>
      </c>
      <c r="L80" s="3">
        <f t="shared" si="23"/>
        <v>-19.200000000000045</v>
      </c>
      <c r="M80" s="3">
        <f t="shared" si="24"/>
        <v>-16.80000000000004</v>
      </c>
      <c r="N80" s="3">
        <f t="shared" si="25"/>
        <v>-14.400000000000034</v>
      </c>
      <c r="O80" s="3">
        <f t="shared" si="26"/>
        <v>-12.000000000000028</v>
      </c>
      <c r="P80" s="3"/>
      <c r="Q80" s="3">
        <v>69.762</v>
      </c>
      <c r="R80" s="3"/>
    </row>
    <row r="81" ht="14.25">
      <c r="A81">
        <v>504264</v>
      </c>
      <c r="B81">
        <v>-26</v>
      </c>
      <c r="C81">
        <v>77.219999999999999</v>
      </c>
      <c r="D81">
        <v>51</v>
      </c>
      <c r="E81">
        <v>38.899999999999999</v>
      </c>
      <c r="F81" s="3">
        <f t="shared" si="18"/>
        <v>8.4000000000000004</v>
      </c>
      <c r="G81" s="3">
        <f t="shared" si="19"/>
        <v>32.100000000000001</v>
      </c>
      <c r="H81" s="3">
        <v>37.5</v>
      </c>
      <c r="I81" s="3">
        <f t="shared" si="20"/>
        <v>14.1</v>
      </c>
      <c r="J81" s="3">
        <f t="shared" si="21"/>
        <v>-1.3999999999999986</v>
      </c>
      <c r="K81" s="3">
        <f t="shared" si="22"/>
        <v>-25.199999999999974</v>
      </c>
      <c r="L81" s="3">
        <f t="shared" si="23"/>
        <v>-22.399999999999977</v>
      </c>
      <c r="M81" s="3">
        <f t="shared" si="24"/>
        <v>-19.59999999999998</v>
      </c>
      <c r="N81" s="3">
        <f t="shared" si="25"/>
        <v>-16.799999999999983</v>
      </c>
      <c r="O81" s="3">
        <f t="shared" si="26"/>
        <v>-13.999999999999986</v>
      </c>
      <c r="P81" s="3"/>
      <c r="Q81" s="3">
        <v>69.481999999999999</v>
      </c>
      <c r="R81" s="3"/>
    </row>
    <row r="82" ht="14.25">
      <c r="A82">
        <v>510569</v>
      </c>
      <c r="B82">
        <v>-27.329999999999998</v>
      </c>
      <c r="C82">
        <v>77.030000000000001</v>
      </c>
      <c r="D82">
        <v>49</v>
      </c>
      <c r="E82">
        <v>39.100000000000001</v>
      </c>
      <c r="F82" s="3">
        <f t="shared" si="18"/>
        <v>8.5</v>
      </c>
      <c r="G82" s="3">
        <f t="shared" si="19"/>
        <v>30.800000000000001</v>
      </c>
      <c r="H82" s="3">
        <v>37.5</v>
      </c>
      <c r="I82" s="3">
        <f t="shared" si="20"/>
        <v>13.6</v>
      </c>
      <c r="J82" s="3">
        <f t="shared" si="21"/>
        <v>-1.6000000000000014</v>
      </c>
      <c r="K82" s="3">
        <f t="shared" si="22"/>
        <v>-28.800000000000026</v>
      </c>
      <c r="L82" s="3">
        <f t="shared" si="23"/>
        <v>-25.600000000000023</v>
      </c>
      <c r="M82" s="3">
        <f t="shared" si="24"/>
        <v>-22.40000000000002</v>
      </c>
      <c r="N82" s="3">
        <f t="shared" si="25"/>
        <v>-19.200000000000017</v>
      </c>
      <c r="O82" s="3">
        <f t="shared" si="26"/>
        <v>-16.000000000000014</v>
      </c>
      <c r="P82" s="3"/>
      <c r="Q82" s="3">
        <v>69.146000000000001</v>
      </c>
      <c r="R82" s="3"/>
    </row>
    <row r="83" ht="14.25">
      <c r="A83">
        <v>516873</v>
      </c>
      <c r="B83">
        <v>-30</v>
      </c>
      <c r="C83">
        <v>76.819999999999993</v>
      </c>
      <c r="D83">
        <v>46</v>
      </c>
      <c r="E83">
        <v>39</v>
      </c>
      <c r="F83" s="3">
        <f t="shared" si="18"/>
        <v>8.5999999999999996</v>
      </c>
      <c r="G83" s="3">
        <f t="shared" si="19"/>
        <v>28.899999999999999</v>
      </c>
      <c r="H83" s="3">
        <v>37.5</v>
      </c>
      <c r="I83" s="3">
        <f t="shared" si="20"/>
        <v>12.699999999999999</v>
      </c>
      <c r="J83" s="3">
        <f t="shared" si="21"/>
        <v>-1.5</v>
      </c>
      <c r="K83" s="3">
        <f t="shared" si="22"/>
        <v>-27</v>
      </c>
      <c r="L83" s="3">
        <f t="shared" si="23"/>
        <v>-24</v>
      </c>
      <c r="M83" s="3">
        <f t="shared" si="24"/>
        <v>-21</v>
      </c>
      <c r="N83" s="3">
        <f t="shared" si="25"/>
        <v>-18</v>
      </c>
      <c r="O83" s="3">
        <f t="shared" si="26"/>
        <v>-15</v>
      </c>
      <c r="P83" s="3"/>
      <c r="Q83" s="3">
        <v>68.810000000000002</v>
      </c>
      <c r="R83" s="3"/>
    </row>
    <row r="84" ht="14.25">
      <c r="A84">
        <v>523175</v>
      </c>
      <c r="B84">
        <v>-31.329999999999998</v>
      </c>
      <c r="C84">
        <v>76.599999999999994</v>
      </c>
      <c r="D84">
        <v>45</v>
      </c>
      <c r="E84">
        <v>39.200000000000003</v>
      </c>
      <c r="F84" s="3">
        <f t="shared" si="18"/>
        <v>8.6999999999999993</v>
      </c>
      <c r="G84" s="3">
        <f t="shared" si="19"/>
        <v>28.300000000000001</v>
      </c>
      <c r="H84" s="3">
        <v>37.5</v>
      </c>
      <c r="I84" s="3">
        <f t="shared" si="20"/>
        <v>12.5</v>
      </c>
      <c r="J84" s="3">
        <f t="shared" si="21"/>
        <v>-1.7000000000000028</v>
      </c>
      <c r="K84" s="3">
        <f t="shared" si="22"/>
        <v>-30.600000000000051</v>
      </c>
      <c r="L84" s="3">
        <f t="shared" si="23"/>
        <v>-27.200000000000045</v>
      </c>
      <c r="M84" s="3">
        <f t="shared" si="24"/>
        <v>-23.80000000000004</v>
      </c>
      <c r="N84" s="3">
        <f t="shared" si="25"/>
        <v>-20.400000000000034</v>
      </c>
      <c r="O84" s="3">
        <f t="shared" si="26"/>
        <v>-17.000000000000028</v>
      </c>
      <c r="P84" s="3"/>
      <c r="Q84" s="3">
        <v>68.445999999999998</v>
      </c>
      <c r="R84" s="3"/>
    </row>
    <row r="85" ht="14.25">
      <c r="A85">
        <v>529479</v>
      </c>
      <c r="B85">
        <v>-32.670000000000002</v>
      </c>
      <c r="C85">
        <v>76.370000000000005</v>
      </c>
      <c r="D85">
        <v>43</v>
      </c>
      <c r="E85">
        <v>39</v>
      </c>
      <c r="F85" s="3">
        <f t="shared" si="18"/>
        <v>8.8000000000000007</v>
      </c>
      <c r="G85" s="3">
        <f t="shared" si="19"/>
        <v>27</v>
      </c>
      <c r="H85" s="3">
        <v>37.5</v>
      </c>
      <c r="I85" s="3">
        <f t="shared" si="20"/>
        <v>11.9</v>
      </c>
      <c r="J85" s="3">
        <f t="shared" si="21"/>
        <v>-1.5</v>
      </c>
      <c r="K85" s="3">
        <f t="shared" si="22"/>
        <v>-27</v>
      </c>
      <c r="L85" s="3">
        <f t="shared" si="23"/>
        <v>-24</v>
      </c>
      <c r="M85" s="3">
        <f t="shared" si="24"/>
        <v>-21</v>
      </c>
      <c r="N85" s="3">
        <f t="shared" si="25"/>
        <v>-18</v>
      </c>
      <c r="O85" s="3">
        <f t="shared" si="26"/>
        <v>-15</v>
      </c>
      <c r="P85" s="3"/>
      <c r="Q85" s="3">
        <v>68.081999999999994</v>
      </c>
      <c r="R85" s="3"/>
    </row>
    <row r="86" ht="14.25">
      <c r="A86">
        <v>535782</v>
      </c>
      <c r="B86">
        <v>-32</v>
      </c>
      <c r="C86">
        <v>76.150000000000006</v>
      </c>
      <c r="D86">
        <v>44</v>
      </c>
      <c r="E86">
        <v>39.100000000000001</v>
      </c>
      <c r="F86" s="3">
        <f t="shared" si="18"/>
        <v>8.9000000000000004</v>
      </c>
      <c r="G86" s="3">
        <f t="shared" si="19"/>
        <v>27.699999999999999</v>
      </c>
      <c r="H86" s="3">
        <v>37.5</v>
      </c>
      <c r="I86" s="3">
        <f t="shared" si="20"/>
        <v>12.199999999999999</v>
      </c>
      <c r="J86" s="3">
        <f t="shared" si="21"/>
        <v>-1.6000000000000014</v>
      </c>
      <c r="K86" s="3">
        <f t="shared" si="22"/>
        <v>-28.800000000000026</v>
      </c>
      <c r="L86" s="3">
        <f t="shared" si="23"/>
        <v>-25.600000000000023</v>
      </c>
      <c r="M86" s="3">
        <f t="shared" si="24"/>
        <v>-22.40000000000002</v>
      </c>
      <c r="N86" s="3">
        <f t="shared" si="25"/>
        <v>-19.200000000000017</v>
      </c>
      <c r="O86" s="3">
        <f t="shared" si="26"/>
        <v>-16.000000000000014</v>
      </c>
      <c r="P86" s="3"/>
      <c r="Q86" s="3">
        <v>67.718000000000004</v>
      </c>
      <c r="R86" s="3"/>
    </row>
    <row r="87" ht="14.25">
      <c r="A87">
        <v>542086</v>
      </c>
      <c r="B87">
        <v>-36</v>
      </c>
      <c r="C87">
        <v>75.890000000000001</v>
      </c>
      <c r="D87">
        <v>39</v>
      </c>
      <c r="E87">
        <v>39.299999999999997</v>
      </c>
      <c r="F87" s="3">
        <f t="shared" si="18"/>
        <v>9</v>
      </c>
      <c r="G87" s="3">
        <f t="shared" si="19"/>
        <v>24.5</v>
      </c>
      <c r="H87" s="3">
        <v>37.5</v>
      </c>
      <c r="I87" s="3">
        <f t="shared" si="20"/>
        <v>10.800000000000001</v>
      </c>
      <c r="J87" s="3">
        <f t="shared" si="21"/>
        <v>-1.7999999999999972</v>
      </c>
      <c r="K87" s="3">
        <f t="shared" si="22"/>
        <v>-32.399999999999949</v>
      </c>
      <c r="L87" s="3">
        <f t="shared" si="23"/>
        <v>-28.799999999999955</v>
      </c>
      <c r="M87" s="3">
        <f t="shared" si="24"/>
        <v>-25.19999999999996</v>
      </c>
      <c r="N87" s="3">
        <f t="shared" si="25"/>
        <v>-21.599999999999966</v>
      </c>
      <c r="O87" s="3">
        <f t="shared" si="26"/>
        <v>-17.999999999999972</v>
      </c>
      <c r="P87" s="3"/>
      <c r="Q87" s="3">
        <v>67.325999999999993</v>
      </c>
      <c r="R87" s="3"/>
    </row>
    <row r="88" ht="14.25">
      <c r="A88">
        <v>548388</v>
      </c>
      <c r="B88">
        <v>-39.329999999999998</v>
      </c>
      <c r="C88">
        <v>75.620000000000005</v>
      </c>
      <c r="D88">
        <v>36</v>
      </c>
      <c r="E88">
        <v>39.299999999999997</v>
      </c>
      <c r="F88" s="3">
        <f t="shared" si="18"/>
        <v>9.0999999999999996</v>
      </c>
      <c r="G88" s="3">
        <f t="shared" si="19"/>
        <v>22.600000000000001</v>
      </c>
      <c r="H88" s="3">
        <v>37.5</v>
      </c>
      <c r="I88" s="3">
        <f t="shared" si="20"/>
        <v>10</v>
      </c>
      <c r="J88" s="3">
        <f t="shared" si="21"/>
        <v>-1.7999999999999972</v>
      </c>
      <c r="K88" s="3">
        <f t="shared" si="22"/>
        <v>-32.399999999999949</v>
      </c>
      <c r="L88" s="3">
        <f t="shared" si="23"/>
        <v>-28.799999999999955</v>
      </c>
      <c r="M88" s="3">
        <f t="shared" si="24"/>
        <v>-25.19999999999996</v>
      </c>
      <c r="N88" s="3">
        <f t="shared" si="25"/>
        <v>-21.599999999999966</v>
      </c>
      <c r="O88" s="3">
        <f t="shared" si="26"/>
        <v>-17.999999999999972</v>
      </c>
      <c r="P88" s="3"/>
      <c r="Q88" s="3">
        <v>66.920000000000002</v>
      </c>
      <c r="R88" s="3"/>
    </row>
    <row r="89" ht="14.25">
      <c r="A89">
        <v>554691</v>
      </c>
      <c r="B89">
        <v>-39.329999999999998</v>
      </c>
      <c r="C89">
        <v>75.340000000000003</v>
      </c>
      <c r="D89">
        <v>36</v>
      </c>
      <c r="E89">
        <v>39.399999999999999</v>
      </c>
      <c r="F89" s="3">
        <f t="shared" si="18"/>
        <v>9.1999999999999993</v>
      </c>
      <c r="G89" s="3">
        <f t="shared" si="19"/>
        <v>22.600000000000001</v>
      </c>
      <c r="H89" s="3">
        <v>37.5</v>
      </c>
      <c r="I89" s="3">
        <f t="shared" si="20"/>
        <v>10</v>
      </c>
      <c r="J89" s="3">
        <f t="shared" si="21"/>
        <v>-1.8999999999999986</v>
      </c>
      <c r="K89" s="3">
        <f t="shared" si="22"/>
        <v>-34.199999999999974</v>
      </c>
      <c r="L89" s="3">
        <f t="shared" si="23"/>
        <v>-30.399999999999977</v>
      </c>
      <c r="M89" s="3">
        <f t="shared" si="24"/>
        <v>-26.59999999999998</v>
      </c>
      <c r="N89" s="3">
        <f t="shared" si="25"/>
        <v>-22.799999999999983</v>
      </c>
      <c r="O89" s="3">
        <f t="shared" si="26"/>
        <v>-18.999999999999986</v>
      </c>
      <c r="P89" s="3"/>
      <c r="Q89" s="3">
        <v>66.5</v>
      </c>
      <c r="R89" s="3"/>
    </row>
    <row r="90" ht="14.25">
      <c r="A90">
        <v>560994</v>
      </c>
      <c r="B90">
        <v>-40.670000000000002</v>
      </c>
      <c r="C90">
        <v>75.060000000000002</v>
      </c>
      <c r="D90">
        <v>34</v>
      </c>
      <c r="E90">
        <v>39.600000000000001</v>
      </c>
      <c r="F90" s="3">
        <f t="shared" si="18"/>
        <v>9.3000000000000007</v>
      </c>
      <c r="G90" s="3">
        <f t="shared" si="19"/>
        <v>21.399999999999999</v>
      </c>
      <c r="H90" s="3">
        <v>37.5</v>
      </c>
      <c r="I90" s="3">
        <f t="shared" si="20"/>
        <v>9.4000000000000004</v>
      </c>
      <c r="J90" s="3">
        <f t="shared" si="21"/>
        <v>-2.1000000000000014</v>
      </c>
      <c r="K90" s="3">
        <f t="shared" si="22"/>
        <v>-37.800000000000026</v>
      </c>
      <c r="L90" s="3">
        <f t="shared" si="23"/>
        <v>-33.600000000000023</v>
      </c>
      <c r="M90" s="3">
        <f t="shared" si="24"/>
        <v>-29.40000000000002</v>
      </c>
      <c r="N90" s="3">
        <f t="shared" si="25"/>
        <v>-25.200000000000017</v>
      </c>
      <c r="O90" s="3">
        <f t="shared" si="26"/>
        <v>-21.000000000000014</v>
      </c>
      <c r="P90" s="3"/>
      <c r="Q90" s="3">
        <v>66.066000000000003</v>
      </c>
      <c r="R90" s="3"/>
    </row>
    <row r="91" ht="14.25">
      <c r="A91">
        <v>567298</v>
      </c>
      <c r="B91">
        <v>-41.329999999999998</v>
      </c>
      <c r="C91">
        <v>74.769999999999996</v>
      </c>
      <c r="D91">
        <v>33</v>
      </c>
      <c r="E91">
        <v>39.700000000000003</v>
      </c>
      <c r="F91" s="3">
        <f t="shared" si="18"/>
        <v>9.5</v>
      </c>
      <c r="G91" s="3">
        <f t="shared" si="19"/>
        <v>20.800000000000001</v>
      </c>
      <c r="H91" s="3">
        <v>37.5</v>
      </c>
      <c r="I91" s="3">
        <f t="shared" si="20"/>
        <v>9.0999999999999996</v>
      </c>
      <c r="J91" s="3">
        <f t="shared" si="21"/>
        <v>-2.2000000000000028</v>
      </c>
      <c r="K91" s="3">
        <f t="shared" si="22"/>
        <v>-39.600000000000051</v>
      </c>
      <c r="L91" s="3">
        <f t="shared" si="23"/>
        <v>-35.200000000000045</v>
      </c>
      <c r="M91" s="3">
        <f t="shared" si="24"/>
        <v>-30.80000000000004</v>
      </c>
      <c r="N91" s="3">
        <f t="shared" si="25"/>
        <v>-26.400000000000034</v>
      </c>
      <c r="O91" s="3">
        <f t="shared" si="26"/>
        <v>-22.000000000000028</v>
      </c>
      <c r="P91" s="3"/>
      <c r="Q91" s="3">
        <v>65.603999999999999</v>
      </c>
      <c r="R91" s="3"/>
    </row>
    <row r="92" ht="14.25">
      <c r="A92">
        <v>573600</v>
      </c>
      <c r="B92">
        <v>-42</v>
      </c>
      <c r="C92">
        <v>74.480000000000004</v>
      </c>
      <c r="D92">
        <v>32</v>
      </c>
      <c r="E92">
        <v>39.600000000000001</v>
      </c>
      <c r="F92" s="3">
        <f t="shared" si="18"/>
        <v>9.5999999999999996</v>
      </c>
      <c r="G92" s="3">
        <f t="shared" si="19"/>
        <v>20.100000000000001</v>
      </c>
      <c r="H92" s="3">
        <v>37.5</v>
      </c>
      <c r="I92" s="3">
        <f t="shared" si="20"/>
        <v>8.9000000000000004</v>
      </c>
      <c r="J92" s="3">
        <f t="shared" si="21"/>
        <v>-2.1000000000000014</v>
      </c>
      <c r="K92" s="3">
        <f t="shared" si="22"/>
        <v>-37.800000000000026</v>
      </c>
      <c r="L92" s="3">
        <f t="shared" si="23"/>
        <v>-33.600000000000023</v>
      </c>
      <c r="M92" s="3">
        <f t="shared" si="24"/>
        <v>-29.40000000000002</v>
      </c>
      <c r="N92" s="3">
        <f t="shared" si="25"/>
        <v>-25.200000000000017</v>
      </c>
      <c r="O92" s="3">
        <f t="shared" si="26"/>
        <v>-21.000000000000014</v>
      </c>
      <c r="P92" s="3"/>
      <c r="Q92" s="3">
        <v>65.141999999999996</v>
      </c>
      <c r="R92" s="3"/>
    </row>
    <row r="93" ht="14.25">
      <c r="A93">
        <v>579902</v>
      </c>
      <c r="B93">
        <v>-43.329999999999998</v>
      </c>
      <c r="C93">
        <v>74.170000000000002</v>
      </c>
      <c r="D93">
        <v>30</v>
      </c>
      <c r="E93">
        <v>39.600000000000001</v>
      </c>
      <c r="F93" s="3">
        <f t="shared" si="18"/>
        <v>9.6999999999999993</v>
      </c>
      <c r="G93" s="3">
        <f t="shared" si="19"/>
        <v>18.899999999999999</v>
      </c>
      <c r="H93" s="3">
        <v>37.5</v>
      </c>
      <c r="I93" s="3">
        <f t="shared" si="20"/>
        <v>8.3000000000000007</v>
      </c>
      <c r="J93" s="3">
        <f t="shared" si="21"/>
        <v>-2.1000000000000014</v>
      </c>
      <c r="K93" s="3">
        <f t="shared" si="22"/>
        <v>-37.800000000000026</v>
      </c>
      <c r="L93" s="3">
        <f t="shared" si="23"/>
        <v>-33.600000000000023</v>
      </c>
      <c r="M93" s="3">
        <f t="shared" si="24"/>
        <v>-29.40000000000002</v>
      </c>
      <c r="N93" s="3">
        <f t="shared" si="25"/>
        <v>-25.200000000000017</v>
      </c>
      <c r="O93" s="3">
        <f t="shared" si="26"/>
        <v>-21.000000000000014</v>
      </c>
      <c r="P93" s="3"/>
      <c r="Q93" s="3">
        <v>64.707999999999998</v>
      </c>
      <c r="R93" s="3"/>
    </row>
    <row r="94" ht="14.25">
      <c r="A94">
        <v>586206</v>
      </c>
      <c r="B94">
        <v>-43.329999999999998</v>
      </c>
      <c r="C94">
        <v>73.870000000000005</v>
      </c>
      <c r="D94">
        <v>30</v>
      </c>
      <c r="E94">
        <v>39.700000000000003</v>
      </c>
      <c r="F94" s="3">
        <f t="shared" si="18"/>
        <v>9.8000000000000007</v>
      </c>
      <c r="G94" s="3">
        <f t="shared" si="19"/>
        <v>18.899999999999999</v>
      </c>
      <c r="H94" s="3">
        <v>37.5</v>
      </c>
      <c r="I94" s="3">
        <f t="shared" si="20"/>
        <v>8.3000000000000007</v>
      </c>
      <c r="J94" s="3">
        <f t="shared" si="21"/>
        <v>-2.2000000000000028</v>
      </c>
      <c r="K94" s="3">
        <f t="shared" si="22"/>
        <v>-39.600000000000051</v>
      </c>
      <c r="L94" s="3">
        <f t="shared" si="23"/>
        <v>-35.200000000000045</v>
      </c>
      <c r="M94" s="3">
        <f t="shared" si="24"/>
        <v>-30.80000000000004</v>
      </c>
      <c r="N94" s="3">
        <f t="shared" si="25"/>
        <v>-26.400000000000034</v>
      </c>
      <c r="O94" s="3">
        <f t="shared" si="26"/>
        <v>-22.000000000000028</v>
      </c>
      <c r="P94" s="3"/>
      <c r="Q94" s="3">
        <v>64.274000000000001</v>
      </c>
      <c r="R94" s="3"/>
    </row>
    <row r="95" ht="14.25">
      <c r="A95">
        <v>592510</v>
      </c>
      <c r="B95">
        <v>-44</v>
      </c>
      <c r="C95">
        <v>73.560000000000002</v>
      </c>
      <c r="D95">
        <v>29</v>
      </c>
      <c r="E95">
        <v>39.700000000000003</v>
      </c>
      <c r="F95" s="3">
        <f t="shared" si="18"/>
        <v>9.9000000000000004</v>
      </c>
      <c r="G95" s="3">
        <f t="shared" si="19"/>
        <v>18.199999999999999</v>
      </c>
      <c r="H95" s="3">
        <v>37.5</v>
      </c>
      <c r="I95" s="3">
        <f t="shared" si="20"/>
        <v>8</v>
      </c>
      <c r="J95" s="3">
        <f t="shared" si="21"/>
        <v>-2.2000000000000028</v>
      </c>
      <c r="K95" s="3">
        <f t="shared" si="22"/>
        <v>-39.600000000000051</v>
      </c>
      <c r="L95" s="3">
        <f t="shared" si="23"/>
        <v>-35.200000000000045</v>
      </c>
      <c r="M95" s="3">
        <f t="shared" si="24"/>
        <v>-30.80000000000004</v>
      </c>
      <c r="N95" s="3">
        <f t="shared" si="25"/>
        <v>-26.400000000000034</v>
      </c>
      <c r="O95" s="3">
        <f t="shared" si="26"/>
        <v>-22.000000000000028</v>
      </c>
      <c r="P95" s="3"/>
      <c r="Q95" s="3">
        <v>63.840000000000003</v>
      </c>
      <c r="R95" s="3"/>
    </row>
    <row r="96" ht="14.25">
      <c r="A96">
        <v>598814</v>
      </c>
      <c r="B96">
        <v>-44.670000000000002</v>
      </c>
      <c r="C96">
        <v>73.25</v>
      </c>
      <c r="D96">
        <v>28</v>
      </c>
      <c r="E96">
        <v>39.700000000000003</v>
      </c>
      <c r="F96" s="3">
        <f t="shared" si="18"/>
        <v>10</v>
      </c>
      <c r="G96" s="3">
        <f t="shared" si="19"/>
        <v>17.600000000000001</v>
      </c>
      <c r="H96" s="3">
        <v>37.5</v>
      </c>
      <c r="I96" s="3">
        <f t="shared" si="20"/>
        <v>7.7000000000000002</v>
      </c>
      <c r="J96" s="3">
        <f t="shared" si="21"/>
        <v>-2.2000000000000028</v>
      </c>
      <c r="K96" s="3">
        <f t="shared" si="22"/>
        <v>-39.600000000000051</v>
      </c>
      <c r="L96" s="3">
        <f t="shared" si="23"/>
        <v>-35.200000000000045</v>
      </c>
      <c r="M96" s="3">
        <f t="shared" si="24"/>
        <v>-30.80000000000004</v>
      </c>
      <c r="N96" s="3">
        <f t="shared" si="25"/>
        <v>-26.400000000000034</v>
      </c>
      <c r="O96" s="3">
        <f t="shared" si="26"/>
        <v>-22.000000000000028</v>
      </c>
      <c r="P96" s="3"/>
      <c r="Q96" s="3">
        <v>63.322000000000003</v>
      </c>
      <c r="R96" s="3"/>
    </row>
    <row r="97" ht="14.25">
      <c r="A97">
        <v>605118</v>
      </c>
      <c r="B97">
        <v>-44.670000000000002</v>
      </c>
      <c r="C97">
        <v>72.939999999999998</v>
      </c>
      <c r="D97">
        <v>28</v>
      </c>
      <c r="E97">
        <v>39.799999999999997</v>
      </c>
      <c r="F97" s="3">
        <f t="shared" si="18"/>
        <v>10.1</v>
      </c>
      <c r="G97" s="3">
        <f t="shared" si="19"/>
        <v>17.600000000000001</v>
      </c>
      <c r="H97" s="3">
        <v>37.5</v>
      </c>
      <c r="I97" s="3">
        <f t="shared" si="20"/>
        <v>7.7000000000000002</v>
      </c>
      <c r="J97" s="3">
        <f t="shared" si="21"/>
        <v>-2.2999999999999972</v>
      </c>
      <c r="K97" s="3">
        <f t="shared" si="22"/>
        <v>-41.399999999999949</v>
      </c>
      <c r="L97" s="3">
        <f t="shared" si="23"/>
        <v>-36.799999999999955</v>
      </c>
      <c r="M97" s="3">
        <f t="shared" si="24"/>
        <v>-32.19999999999996</v>
      </c>
      <c r="N97" s="3">
        <f t="shared" si="25"/>
        <v>-27.599999999999966</v>
      </c>
      <c r="O97" s="3">
        <f t="shared" si="26"/>
        <v>-22.999999999999972</v>
      </c>
      <c r="P97" s="3"/>
      <c r="Q97" s="3">
        <v>62.874000000000002</v>
      </c>
      <c r="R97" s="3"/>
    </row>
    <row r="98" ht="14.25">
      <c r="A98">
        <v>611422</v>
      </c>
      <c r="B98">
        <v>-44.670000000000002</v>
      </c>
      <c r="C98">
        <v>72.620000000000005</v>
      </c>
      <c r="D98">
        <v>27</v>
      </c>
      <c r="E98">
        <v>39.700000000000003</v>
      </c>
      <c r="F98" s="3">
        <f t="shared" si="18"/>
        <v>10.199999999999999</v>
      </c>
      <c r="G98" s="3">
        <f t="shared" si="19"/>
        <v>17</v>
      </c>
      <c r="H98" s="3">
        <v>37.5</v>
      </c>
      <c r="I98" s="3">
        <f t="shared" si="20"/>
        <v>7.5</v>
      </c>
      <c r="J98" s="3">
        <f t="shared" si="21"/>
        <v>-2.2000000000000028</v>
      </c>
      <c r="K98" s="3">
        <f t="shared" si="22"/>
        <v>-39.600000000000051</v>
      </c>
      <c r="L98" s="3">
        <f t="shared" si="23"/>
        <v>-35.200000000000045</v>
      </c>
      <c r="M98" s="3">
        <f t="shared" si="24"/>
        <v>-30.80000000000004</v>
      </c>
      <c r="N98" s="3">
        <f t="shared" si="25"/>
        <v>-26.400000000000034</v>
      </c>
      <c r="O98" s="3">
        <f t="shared" si="26"/>
        <v>-22.000000000000028</v>
      </c>
      <c r="P98" s="3"/>
      <c r="Q98" s="3">
        <v>62.411999999999999</v>
      </c>
      <c r="R98" s="3"/>
    </row>
    <row r="99" ht="14.25">
      <c r="A99">
        <v>617724</v>
      </c>
      <c r="B99">
        <v>-46</v>
      </c>
      <c r="C99">
        <v>72.299999999999997</v>
      </c>
      <c r="D99">
        <v>26</v>
      </c>
      <c r="E99">
        <v>39.799999999999997</v>
      </c>
      <c r="F99" s="3">
        <f t="shared" si="18"/>
        <v>10.300000000000001</v>
      </c>
      <c r="G99" s="3">
        <f t="shared" si="19"/>
        <v>16.399999999999999</v>
      </c>
      <c r="H99" s="3">
        <v>37.5</v>
      </c>
      <c r="I99" s="3">
        <f t="shared" si="20"/>
        <v>7.2000000000000002</v>
      </c>
      <c r="J99" s="3">
        <f t="shared" si="21"/>
        <v>-2.2999999999999972</v>
      </c>
      <c r="K99" s="3">
        <f t="shared" si="22"/>
        <v>-41.399999999999949</v>
      </c>
      <c r="L99" s="3">
        <f t="shared" si="23"/>
        <v>-36.799999999999955</v>
      </c>
      <c r="M99" s="3">
        <f t="shared" si="24"/>
        <v>-32.19999999999996</v>
      </c>
      <c r="N99" s="3">
        <f t="shared" si="25"/>
        <v>-27.599999999999966</v>
      </c>
      <c r="O99" s="3">
        <f t="shared" si="26"/>
        <v>-22.999999999999972</v>
      </c>
      <c r="P99" s="3"/>
      <c r="Q99" s="3">
        <v>61.950000000000003</v>
      </c>
      <c r="R99" s="3"/>
    </row>
    <row r="100" ht="14.25">
      <c r="A100">
        <v>624027</v>
      </c>
      <c r="B100">
        <v>-44.670000000000002</v>
      </c>
      <c r="C100">
        <v>71.989999999999995</v>
      </c>
      <c r="D100">
        <v>27</v>
      </c>
      <c r="E100">
        <v>39.899999999999999</v>
      </c>
      <c r="F100" s="3">
        <f t="shared" ref="F100:F163" si="27">ROUND(A100/60000,1)</f>
        <v>10.4</v>
      </c>
      <c r="G100" s="3">
        <f t="shared" ref="G100:G163" si="28">ROUND((D100/159)*100,1)</f>
        <v>17</v>
      </c>
      <c r="H100" s="3">
        <v>37.5</v>
      </c>
      <c r="I100" s="3">
        <f t="shared" ref="I100:I163" si="29">ROUND((D100/159)*44,1)</f>
        <v>7.5</v>
      </c>
      <c r="J100" s="3">
        <f t="shared" ref="J100:J163" si="30">37.5-E100</f>
        <v>-2.3999999999999986</v>
      </c>
      <c r="K100" s="3">
        <f t="shared" ref="K100:K163" si="31">J100*18</f>
        <v>-43.199999999999974</v>
      </c>
      <c r="L100" s="3">
        <f t="shared" ref="L100:L163" si="32">J100*16</f>
        <v>-38.399999999999977</v>
      </c>
      <c r="M100" s="3">
        <f t="shared" ref="M100:M163" si="33">J100*14</f>
        <v>-33.59999999999998</v>
      </c>
      <c r="N100" s="3">
        <f t="shared" ref="N100:N163" si="34">J100*12</f>
        <v>-28.799999999999983</v>
      </c>
      <c r="O100" s="3">
        <f t="shared" ref="O100:O163" si="35">J100*10</f>
        <v>-23.999999999999986</v>
      </c>
      <c r="P100" s="3"/>
      <c r="Q100" s="3">
        <v>61.530000000000001</v>
      </c>
      <c r="R100" s="3"/>
    </row>
    <row r="101" ht="14.25">
      <c r="A101">
        <v>630330</v>
      </c>
      <c r="B101">
        <v>-44</v>
      </c>
      <c r="C101">
        <v>71.680000000000007</v>
      </c>
      <c r="D101">
        <v>27</v>
      </c>
      <c r="E101">
        <v>39.700000000000003</v>
      </c>
      <c r="F101" s="3">
        <f t="shared" si="27"/>
        <v>10.5</v>
      </c>
      <c r="G101" s="3">
        <f t="shared" si="28"/>
        <v>17</v>
      </c>
      <c r="H101" s="3">
        <v>37.5</v>
      </c>
      <c r="I101" s="3">
        <f t="shared" si="29"/>
        <v>7.5</v>
      </c>
      <c r="J101" s="3">
        <f t="shared" si="30"/>
        <v>-2.2000000000000028</v>
      </c>
      <c r="K101" s="3">
        <f t="shared" si="31"/>
        <v>-39.600000000000051</v>
      </c>
      <c r="L101" s="3">
        <f t="shared" si="32"/>
        <v>-35.200000000000045</v>
      </c>
      <c r="M101" s="3">
        <f t="shared" si="33"/>
        <v>-30.80000000000004</v>
      </c>
      <c r="N101" s="3">
        <f t="shared" si="34"/>
        <v>-26.400000000000034</v>
      </c>
      <c r="O101" s="3">
        <f t="shared" si="35"/>
        <v>-22.000000000000028</v>
      </c>
      <c r="P101" s="3"/>
      <c r="Q101" s="3">
        <v>61.067999999999998</v>
      </c>
      <c r="R101" s="3"/>
    </row>
    <row r="102" ht="14.25">
      <c r="A102">
        <v>636633</v>
      </c>
      <c r="B102">
        <v>-42</v>
      </c>
      <c r="C102">
        <v>71.390000000000001</v>
      </c>
      <c r="D102">
        <v>29</v>
      </c>
      <c r="E102">
        <v>39.600000000000001</v>
      </c>
      <c r="F102" s="3">
        <f t="shared" si="27"/>
        <v>10.6</v>
      </c>
      <c r="G102" s="3">
        <f t="shared" si="28"/>
        <v>18.199999999999999</v>
      </c>
      <c r="H102" s="3">
        <v>37.5</v>
      </c>
      <c r="I102" s="3">
        <f t="shared" si="29"/>
        <v>8</v>
      </c>
      <c r="J102" s="3">
        <f t="shared" si="30"/>
        <v>-2.1000000000000014</v>
      </c>
      <c r="K102" s="3">
        <f t="shared" si="31"/>
        <v>-37.800000000000026</v>
      </c>
      <c r="L102" s="3">
        <f t="shared" si="32"/>
        <v>-33.600000000000023</v>
      </c>
      <c r="M102" s="3">
        <f t="shared" si="33"/>
        <v>-29.40000000000002</v>
      </c>
      <c r="N102" s="3">
        <f t="shared" si="34"/>
        <v>-25.200000000000017</v>
      </c>
      <c r="O102" s="3">
        <f t="shared" si="35"/>
        <v>-21.000000000000014</v>
      </c>
      <c r="P102" s="3"/>
      <c r="Q102" s="3">
        <v>60.634</v>
      </c>
      <c r="R102" s="3"/>
    </row>
    <row r="103" ht="14.25">
      <c r="A103">
        <v>642936</v>
      </c>
      <c r="B103">
        <v>-43.329999999999998</v>
      </c>
      <c r="C103">
        <v>71.079999999999998</v>
      </c>
      <c r="D103">
        <v>27</v>
      </c>
      <c r="E103">
        <v>39.700000000000003</v>
      </c>
      <c r="F103" s="3">
        <f t="shared" si="27"/>
        <v>10.699999999999999</v>
      </c>
      <c r="G103" s="3">
        <f t="shared" si="28"/>
        <v>17</v>
      </c>
      <c r="H103" s="3">
        <v>37.5</v>
      </c>
      <c r="I103" s="3">
        <f t="shared" si="29"/>
        <v>7.5</v>
      </c>
      <c r="J103" s="3">
        <f t="shared" si="30"/>
        <v>-2.2000000000000028</v>
      </c>
      <c r="K103" s="3">
        <f t="shared" si="31"/>
        <v>-39.600000000000051</v>
      </c>
      <c r="L103" s="3">
        <f t="shared" si="32"/>
        <v>-35.200000000000045</v>
      </c>
      <c r="M103" s="3">
        <f t="shared" si="33"/>
        <v>-30.80000000000004</v>
      </c>
      <c r="N103" s="3">
        <f t="shared" si="34"/>
        <v>-26.400000000000034</v>
      </c>
      <c r="O103" s="3">
        <f t="shared" si="35"/>
        <v>-22.000000000000028</v>
      </c>
      <c r="P103" s="3"/>
      <c r="Q103" s="3">
        <v>60.213999999999999</v>
      </c>
      <c r="R103" s="3"/>
    </row>
    <row r="104" ht="14.25">
      <c r="A104">
        <v>649239</v>
      </c>
      <c r="B104">
        <v>-42</v>
      </c>
      <c r="C104">
        <v>70.790000000000006</v>
      </c>
      <c r="D104">
        <v>28</v>
      </c>
      <c r="E104">
        <v>39.600000000000001</v>
      </c>
      <c r="F104" s="3">
        <f t="shared" si="27"/>
        <v>10.800000000000001</v>
      </c>
      <c r="G104" s="3">
        <f t="shared" si="28"/>
        <v>17.600000000000001</v>
      </c>
      <c r="H104" s="3">
        <v>37.5</v>
      </c>
      <c r="I104" s="3">
        <f t="shared" si="29"/>
        <v>7.7000000000000002</v>
      </c>
      <c r="J104" s="3">
        <f t="shared" si="30"/>
        <v>-2.1000000000000014</v>
      </c>
      <c r="K104" s="3">
        <f t="shared" si="31"/>
        <v>-37.800000000000026</v>
      </c>
      <c r="L104" s="3">
        <f t="shared" si="32"/>
        <v>-33.600000000000023</v>
      </c>
      <c r="M104" s="3">
        <f t="shared" si="33"/>
        <v>-29.40000000000002</v>
      </c>
      <c r="N104" s="3">
        <f t="shared" si="34"/>
        <v>-25.200000000000017</v>
      </c>
      <c r="O104" s="3">
        <f t="shared" si="35"/>
        <v>-21.000000000000014</v>
      </c>
      <c r="P104" s="3"/>
      <c r="Q104" s="3">
        <v>59.780000000000001</v>
      </c>
      <c r="R104" s="3"/>
    </row>
    <row r="105" ht="14.25">
      <c r="A105">
        <v>655541</v>
      </c>
      <c r="B105">
        <v>-42</v>
      </c>
      <c r="C105">
        <v>70.489999999999995</v>
      </c>
      <c r="D105">
        <v>28</v>
      </c>
      <c r="E105">
        <v>39.600000000000001</v>
      </c>
      <c r="F105" s="3">
        <f t="shared" si="27"/>
        <v>10.9</v>
      </c>
      <c r="G105" s="3">
        <f t="shared" si="28"/>
        <v>17.600000000000001</v>
      </c>
      <c r="H105" s="3">
        <v>37.5</v>
      </c>
      <c r="I105" s="3">
        <f t="shared" si="29"/>
        <v>7.7000000000000002</v>
      </c>
      <c r="J105" s="3">
        <f t="shared" si="30"/>
        <v>-2.1000000000000014</v>
      </c>
      <c r="K105" s="3">
        <f t="shared" si="31"/>
        <v>-37.800000000000026</v>
      </c>
      <c r="L105" s="3">
        <f t="shared" si="32"/>
        <v>-33.600000000000023</v>
      </c>
      <c r="M105" s="3">
        <f t="shared" si="33"/>
        <v>-29.40000000000002</v>
      </c>
      <c r="N105" s="3">
        <f t="shared" si="34"/>
        <v>-25.200000000000017</v>
      </c>
      <c r="O105" s="3">
        <f t="shared" si="35"/>
        <v>-21.000000000000014</v>
      </c>
      <c r="P105" s="3"/>
      <c r="Q105" s="3">
        <v>59.317999999999998</v>
      </c>
      <c r="R105" s="3"/>
    </row>
    <row r="106" ht="14.25">
      <c r="A106">
        <v>661846</v>
      </c>
      <c r="B106">
        <v>-44</v>
      </c>
      <c r="C106">
        <v>70.189999999999998</v>
      </c>
      <c r="D106">
        <v>26</v>
      </c>
      <c r="E106">
        <v>39.700000000000003</v>
      </c>
      <c r="F106" s="3">
        <f t="shared" si="27"/>
        <v>11</v>
      </c>
      <c r="G106" s="3">
        <f t="shared" si="28"/>
        <v>16.399999999999999</v>
      </c>
      <c r="H106" s="3">
        <v>37.5</v>
      </c>
      <c r="I106" s="3">
        <f t="shared" si="29"/>
        <v>7.2000000000000002</v>
      </c>
      <c r="J106" s="3">
        <f t="shared" si="30"/>
        <v>-2.2000000000000028</v>
      </c>
      <c r="K106" s="3">
        <f t="shared" si="31"/>
        <v>-39.600000000000051</v>
      </c>
      <c r="L106" s="3">
        <f t="shared" si="32"/>
        <v>-35.200000000000045</v>
      </c>
      <c r="M106" s="3">
        <f t="shared" si="33"/>
        <v>-30.80000000000004</v>
      </c>
      <c r="N106" s="3">
        <f t="shared" si="34"/>
        <v>-26.400000000000034</v>
      </c>
      <c r="O106" s="3">
        <f t="shared" si="35"/>
        <v>-22.000000000000028</v>
      </c>
      <c r="P106" s="3"/>
      <c r="Q106" s="3">
        <v>58.869999999999997</v>
      </c>
      <c r="R106" s="3"/>
    </row>
    <row r="107" ht="14.25">
      <c r="A107">
        <v>668148</v>
      </c>
      <c r="B107">
        <v>-40</v>
      </c>
      <c r="C107">
        <v>69.909999999999997</v>
      </c>
      <c r="D107">
        <v>29</v>
      </c>
      <c r="E107">
        <v>39.5</v>
      </c>
      <c r="F107" s="3">
        <f t="shared" si="27"/>
        <v>11.1</v>
      </c>
      <c r="G107" s="3">
        <f t="shared" si="28"/>
        <v>18.199999999999999</v>
      </c>
      <c r="H107" s="3">
        <v>37.5</v>
      </c>
      <c r="I107" s="3">
        <f t="shared" si="29"/>
        <v>8</v>
      </c>
      <c r="J107" s="3">
        <f t="shared" si="30"/>
        <v>-2</v>
      </c>
      <c r="K107" s="3">
        <f t="shared" si="31"/>
        <v>-36</v>
      </c>
      <c r="L107" s="3">
        <f t="shared" si="32"/>
        <v>-32</v>
      </c>
      <c r="M107" s="3">
        <f t="shared" si="33"/>
        <v>-28</v>
      </c>
      <c r="N107" s="3">
        <f t="shared" si="34"/>
        <v>-24</v>
      </c>
      <c r="O107" s="3">
        <f t="shared" si="35"/>
        <v>-20</v>
      </c>
      <c r="P107" s="3"/>
      <c r="Q107" s="3">
        <v>58.408000000000001</v>
      </c>
      <c r="R107" s="3"/>
    </row>
    <row r="108" ht="14.25">
      <c r="A108">
        <v>674452</v>
      </c>
      <c r="B108">
        <v>-40.670000000000002</v>
      </c>
      <c r="C108">
        <v>69.620000000000005</v>
      </c>
      <c r="D108">
        <v>28</v>
      </c>
      <c r="E108">
        <v>39.5</v>
      </c>
      <c r="F108" s="3">
        <f t="shared" si="27"/>
        <v>11.199999999999999</v>
      </c>
      <c r="G108" s="3">
        <f t="shared" si="28"/>
        <v>17.600000000000001</v>
      </c>
      <c r="H108" s="3">
        <v>37.5</v>
      </c>
      <c r="I108" s="3">
        <f t="shared" si="29"/>
        <v>7.7000000000000002</v>
      </c>
      <c r="J108" s="3">
        <f t="shared" si="30"/>
        <v>-2</v>
      </c>
      <c r="K108" s="3">
        <f t="shared" si="31"/>
        <v>-36</v>
      </c>
      <c r="L108" s="3">
        <f t="shared" si="32"/>
        <v>-32</v>
      </c>
      <c r="M108" s="3">
        <f t="shared" si="33"/>
        <v>-28</v>
      </c>
      <c r="N108" s="3">
        <f t="shared" si="34"/>
        <v>-24</v>
      </c>
      <c r="O108" s="3">
        <f t="shared" si="35"/>
        <v>-20</v>
      </c>
      <c r="P108" s="3"/>
      <c r="Q108" s="3">
        <v>57.973999999999997</v>
      </c>
      <c r="R108" s="3"/>
    </row>
    <row r="109" ht="14.25">
      <c r="A109">
        <v>680755</v>
      </c>
      <c r="B109">
        <v>-40</v>
      </c>
      <c r="C109">
        <v>69.340000000000003</v>
      </c>
      <c r="D109">
        <v>29</v>
      </c>
      <c r="E109">
        <v>39.399999999999999</v>
      </c>
      <c r="F109" s="3">
        <f t="shared" si="27"/>
        <v>11.300000000000001</v>
      </c>
      <c r="G109" s="3">
        <f t="shared" si="28"/>
        <v>18.199999999999999</v>
      </c>
      <c r="H109" s="3">
        <v>37.5</v>
      </c>
      <c r="I109" s="3">
        <f t="shared" si="29"/>
        <v>8</v>
      </c>
      <c r="J109" s="3">
        <f t="shared" si="30"/>
        <v>-1.8999999999999986</v>
      </c>
      <c r="K109" s="3">
        <f t="shared" si="31"/>
        <v>-34.199999999999974</v>
      </c>
      <c r="L109" s="3">
        <f t="shared" si="32"/>
        <v>-30.399999999999977</v>
      </c>
      <c r="M109" s="3">
        <f t="shared" si="33"/>
        <v>-26.59999999999998</v>
      </c>
      <c r="N109" s="3">
        <f t="shared" si="34"/>
        <v>-22.799999999999983</v>
      </c>
      <c r="O109" s="3">
        <f t="shared" si="35"/>
        <v>-18.999999999999986</v>
      </c>
      <c r="P109" s="3"/>
      <c r="Q109" s="3">
        <v>57.554000000000002</v>
      </c>
      <c r="R109" s="3"/>
    </row>
    <row r="110" ht="14.25">
      <c r="A110">
        <v>687059</v>
      </c>
      <c r="B110">
        <v>-35.329999999999998</v>
      </c>
      <c r="C110">
        <v>69.090000000000003</v>
      </c>
      <c r="D110">
        <v>33</v>
      </c>
      <c r="E110">
        <v>39.299999999999997</v>
      </c>
      <c r="F110" s="3">
        <f t="shared" si="27"/>
        <v>11.5</v>
      </c>
      <c r="G110" s="3">
        <f t="shared" si="28"/>
        <v>20.800000000000001</v>
      </c>
      <c r="H110" s="3">
        <v>37.5</v>
      </c>
      <c r="I110" s="3">
        <f t="shared" si="29"/>
        <v>9.0999999999999996</v>
      </c>
      <c r="J110" s="3">
        <f t="shared" si="30"/>
        <v>-1.7999999999999972</v>
      </c>
      <c r="K110" s="3">
        <f t="shared" si="31"/>
        <v>-32.399999999999949</v>
      </c>
      <c r="L110" s="3">
        <f t="shared" si="32"/>
        <v>-28.799999999999955</v>
      </c>
      <c r="M110" s="3">
        <f t="shared" si="33"/>
        <v>-25.19999999999996</v>
      </c>
      <c r="N110" s="3">
        <f t="shared" si="34"/>
        <v>-21.599999999999966</v>
      </c>
      <c r="O110" s="3">
        <f t="shared" si="35"/>
        <v>-17.999999999999972</v>
      </c>
      <c r="P110" s="3"/>
      <c r="Q110" s="3">
        <v>57.148000000000003</v>
      </c>
      <c r="R110" s="3"/>
    </row>
    <row r="111" ht="14.25">
      <c r="A111">
        <v>693363</v>
      </c>
      <c r="B111">
        <v>-38</v>
      </c>
      <c r="C111">
        <v>68.829999999999998</v>
      </c>
      <c r="D111">
        <v>30</v>
      </c>
      <c r="E111">
        <v>39.5</v>
      </c>
      <c r="F111" s="3">
        <f t="shared" si="27"/>
        <v>11.6</v>
      </c>
      <c r="G111" s="3">
        <f t="shared" si="28"/>
        <v>18.899999999999999</v>
      </c>
      <c r="H111" s="3">
        <v>37.5</v>
      </c>
      <c r="I111" s="3">
        <f t="shared" si="29"/>
        <v>8.3000000000000007</v>
      </c>
      <c r="J111" s="3">
        <f t="shared" si="30"/>
        <v>-2</v>
      </c>
      <c r="K111" s="3">
        <f t="shared" si="31"/>
        <v>-36</v>
      </c>
      <c r="L111" s="3">
        <f t="shared" si="32"/>
        <v>-32</v>
      </c>
      <c r="M111" s="3">
        <f t="shared" si="33"/>
        <v>-28</v>
      </c>
      <c r="N111" s="3">
        <f t="shared" si="34"/>
        <v>-24</v>
      </c>
      <c r="O111" s="3">
        <f t="shared" si="35"/>
        <v>-20</v>
      </c>
      <c r="P111" s="3"/>
      <c r="Q111" s="3">
        <v>56.741999999999997</v>
      </c>
      <c r="R111" s="3"/>
    </row>
    <row r="112" ht="14.25">
      <c r="A112">
        <v>699665</v>
      </c>
      <c r="B112">
        <v>-36.670000000000002</v>
      </c>
      <c r="C112">
        <v>68.569999999999993</v>
      </c>
      <c r="D112">
        <v>31</v>
      </c>
      <c r="E112">
        <v>39.299999999999997</v>
      </c>
      <c r="F112" s="3">
        <f t="shared" si="27"/>
        <v>11.699999999999999</v>
      </c>
      <c r="G112" s="3">
        <f t="shared" si="28"/>
        <v>19.5</v>
      </c>
      <c r="H112" s="3">
        <v>37.5</v>
      </c>
      <c r="I112" s="3">
        <f t="shared" si="29"/>
        <v>8.5999999999999996</v>
      </c>
      <c r="J112" s="3">
        <f t="shared" si="30"/>
        <v>-1.7999999999999972</v>
      </c>
      <c r="K112" s="3">
        <f t="shared" si="31"/>
        <v>-32.399999999999949</v>
      </c>
      <c r="L112" s="3">
        <f t="shared" si="32"/>
        <v>-28.799999999999955</v>
      </c>
      <c r="M112" s="3">
        <f t="shared" si="33"/>
        <v>-25.19999999999996</v>
      </c>
      <c r="N112" s="3">
        <f t="shared" si="34"/>
        <v>-21.599999999999966</v>
      </c>
      <c r="O112" s="3">
        <f t="shared" si="35"/>
        <v>-17.999999999999972</v>
      </c>
      <c r="P112" s="3"/>
      <c r="Q112" s="3">
        <v>56.322000000000003</v>
      </c>
      <c r="R112" s="3"/>
    </row>
    <row r="113" ht="14.25">
      <c r="A113">
        <v>705970</v>
      </c>
      <c r="B113">
        <v>-34.670000000000002</v>
      </c>
      <c r="C113">
        <v>68.329999999999998</v>
      </c>
      <c r="D113">
        <v>33</v>
      </c>
      <c r="E113">
        <v>39.200000000000003</v>
      </c>
      <c r="F113" s="3">
        <f t="shared" si="27"/>
        <v>11.800000000000001</v>
      </c>
      <c r="G113" s="3">
        <f t="shared" si="28"/>
        <v>20.800000000000001</v>
      </c>
      <c r="H113" s="3">
        <v>37.5</v>
      </c>
      <c r="I113" s="3">
        <f t="shared" si="29"/>
        <v>9.0999999999999996</v>
      </c>
      <c r="J113" s="3">
        <f t="shared" si="30"/>
        <v>-1.7000000000000028</v>
      </c>
      <c r="K113" s="3">
        <f t="shared" si="31"/>
        <v>-30.600000000000051</v>
      </c>
      <c r="L113" s="3">
        <f t="shared" si="32"/>
        <v>-27.200000000000045</v>
      </c>
      <c r="M113" s="3">
        <f t="shared" si="33"/>
        <v>-23.80000000000004</v>
      </c>
      <c r="N113" s="3">
        <f t="shared" si="34"/>
        <v>-20.400000000000034</v>
      </c>
      <c r="O113" s="3">
        <f t="shared" si="35"/>
        <v>-17.000000000000028</v>
      </c>
      <c r="P113" s="3"/>
      <c r="Q113" s="3">
        <v>55.957999999999998</v>
      </c>
      <c r="R113" s="3"/>
    </row>
    <row r="114" ht="14.25">
      <c r="A114">
        <v>712272</v>
      </c>
      <c r="B114">
        <v>-32.670000000000002</v>
      </c>
      <c r="C114">
        <v>68.099999999999994</v>
      </c>
      <c r="D114">
        <v>35</v>
      </c>
      <c r="E114">
        <v>39</v>
      </c>
      <c r="F114" s="3">
        <f t="shared" si="27"/>
        <v>11.9</v>
      </c>
      <c r="G114" s="3">
        <f t="shared" si="28"/>
        <v>22</v>
      </c>
      <c r="H114" s="3">
        <v>37.5</v>
      </c>
      <c r="I114" s="3">
        <f t="shared" si="29"/>
        <v>9.6999999999999993</v>
      </c>
      <c r="J114" s="3">
        <f t="shared" si="30"/>
        <v>-1.5</v>
      </c>
      <c r="K114" s="3">
        <f t="shared" si="31"/>
        <v>-27</v>
      </c>
      <c r="L114" s="3">
        <f t="shared" si="32"/>
        <v>-24</v>
      </c>
      <c r="M114" s="3">
        <f t="shared" si="33"/>
        <v>-21</v>
      </c>
      <c r="N114" s="3">
        <f t="shared" si="34"/>
        <v>-18</v>
      </c>
      <c r="O114" s="3">
        <f t="shared" si="35"/>
        <v>-15</v>
      </c>
      <c r="P114" s="3"/>
      <c r="Q114" s="3">
        <v>55.566000000000003</v>
      </c>
      <c r="R114" s="3"/>
    </row>
    <row r="115" ht="14.25">
      <c r="A115">
        <v>718574</v>
      </c>
      <c r="B115">
        <v>-33.329999999999998</v>
      </c>
      <c r="C115">
        <v>67.870000000000005</v>
      </c>
      <c r="D115">
        <v>34</v>
      </c>
      <c r="E115">
        <v>39.299999999999997</v>
      </c>
      <c r="F115" s="3">
        <f t="shared" si="27"/>
        <v>12</v>
      </c>
      <c r="G115" s="3">
        <f t="shared" si="28"/>
        <v>21.399999999999999</v>
      </c>
      <c r="H115" s="3">
        <v>37.5</v>
      </c>
      <c r="I115" s="3">
        <f t="shared" si="29"/>
        <v>9.4000000000000004</v>
      </c>
      <c r="J115" s="3">
        <f t="shared" si="30"/>
        <v>-1.7999999999999972</v>
      </c>
      <c r="K115" s="3">
        <f t="shared" si="31"/>
        <v>-32.399999999999949</v>
      </c>
      <c r="L115" s="3">
        <f t="shared" si="32"/>
        <v>-28.799999999999955</v>
      </c>
      <c r="M115" s="3">
        <f t="shared" si="33"/>
        <v>-25.19999999999996</v>
      </c>
      <c r="N115" s="3">
        <f t="shared" si="34"/>
        <v>-21.599999999999966</v>
      </c>
      <c r="O115" s="3">
        <f t="shared" si="35"/>
        <v>-17.999999999999972</v>
      </c>
      <c r="P115" s="3"/>
      <c r="Q115" s="3">
        <v>55.216000000000001</v>
      </c>
      <c r="R115" s="3"/>
    </row>
    <row r="116" ht="14.25">
      <c r="A116">
        <v>724877</v>
      </c>
      <c r="B116">
        <v>-31.329999999999998</v>
      </c>
      <c r="C116">
        <v>67.650000000000006</v>
      </c>
      <c r="D116">
        <v>36</v>
      </c>
      <c r="E116">
        <v>39.200000000000003</v>
      </c>
      <c r="F116" s="3">
        <f t="shared" si="27"/>
        <v>12.1</v>
      </c>
      <c r="G116" s="3">
        <f t="shared" si="28"/>
        <v>22.600000000000001</v>
      </c>
      <c r="H116" s="3">
        <v>37.5</v>
      </c>
      <c r="I116" s="3">
        <f t="shared" si="29"/>
        <v>10</v>
      </c>
      <c r="J116" s="3">
        <f t="shared" si="30"/>
        <v>-1.7000000000000028</v>
      </c>
      <c r="K116" s="3">
        <f t="shared" si="31"/>
        <v>-30.600000000000051</v>
      </c>
      <c r="L116" s="3">
        <f t="shared" si="32"/>
        <v>-27.200000000000045</v>
      </c>
      <c r="M116" s="3">
        <f t="shared" si="33"/>
        <v>-23.80000000000004</v>
      </c>
      <c r="N116" s="3">
        <f t="shared" si="34"/>
        <v>-20.400000000000034</v>
      </c>
      <c r="O116" s="3">
        <f t="shared" si="35"/>
        <v>-17.000000000000028</v>
      </c>
      <c r="P116" s="3"/>
      <c r="Q116" s="3">
        <v>54.851999999999997</v>
      </c>
      <c r="R116" s="3"/>
    </row>
    <row r="117" ht="14.25">
      <c r="A117">
        <v>731182</v>
      </c>
      <c r="B117">
        <v>-30.670000000000002</v>
      </c>
      <c r="C117">
        <v>67.430000000000007</v>
      </c>
      <c r="D117">
        <v>36</v>
      </c>
      <c r="E117">
        <v>39.100000000000001</v>
      </c>
      <c r="F117" s="3">
        <f t="shared" si="27"/>
        <v>12.199999999999999</v>
      </c>
      <c r="G117" s="3">
        <f t="shared" si="28"/>
        <v>22.600000000000001</v>
      </c>
      <c r="H117" s="3">
        <v>37.5</v>
      </c>
      <c r="I117" s="3">
        <f t="shared" si="29"/>
        <v>10</v>
      </c>
      <c r="J117" s="3">
        <f t="shared" si="30"/>
        <v>-1.6000000000000014</v>
      </c>
      <c r="K117" s="3">
        <f t="shared" si="31"/>
        <v>-28.800000000000026</v>
      </c>
      <c r="L117" s="3">
        <f t="shared" si="32"/>
        <v>-25.600000000000023</v>
      </c>
      <c r="M117" s="3">
        <f t="shared" si="33"/>
        <v>-22.40000000000002</v>
      </c>
      <c r="N117" s="3">
        <f t="shared" si="34"/>
        <v>-19.200000000000017</v>
      </c>
      <c r="O117" s="3">
        <f t="shared" si="35"/>
        <v>-16.000000000000014</v>
      </c>
      <c r="P117" s="3"/>
      <c r="Q117" s="3">
        <v>54.488</v>
      </c>
      <c r="R117" s="3"/>
    </row>
    <row r="118" ht="14.25">
      <c r="A118">
        <v>737483</v>
      </c>
      <c r="B118">
        <v>-28</v>
      </c>
      <c r="C118">
        <v>67.239999999999995</v>
      </c>
      <c r="D118">
        <v>39</v>
      </c>
      <c r="E118">
        <v>38.799999999999997</v>
      </c>
      <c r="F118" s="3">
        <f t="shared" si="27"/>
        <v>12.300000000000001</v>
      </c>
      <c r="G118" s="3">
        <f t="shared" si="28"/>
        <v>24.5</v>
      </c>
      <c r="H118" s="3">
        <v>37.5</v>
      </c>
      <c r="I118" s="3">
        <f t="shared" si="29"/>
        <v>10.800000000000001</v>
      </c>
      <c r="J118" s="3">
        <f t="shared" si="30"/>
        <v>-1.2999999999999972</v>
      </c>
      <c r="K118" s="3">
        <f t="shared" si="31"/>
        <v>-23.399999999999949</v>
      </c>
      <c r="L118" s="3">
        <f t="shared" si="32"/>
        <v>-20.799999999999955</v>
      </c>
      <c r="M118" s="3">
        <f t="shared" si="33"/>
        <v>-18.19999999999996</v>
      </c>
      <c r="N118" s="3">
        <f t="shared" si="34"/>
        <v>-15.599999999999966</v>
      </c>
      <c r="O118" s="3">
        <f t="shared" si="35"/>
        <v>-12.999999999999972</v>
      </c>
      <c r="P118" s="3"/>
      <c r="Q118" s="3">
        <v>54.137999999999998</v>
      </c>
      <c r="R118" s="3"/>
    </row>
    <row r="119" ht="14.25">
      <c r="A119">
        <v>743787</v>
      </c>
      <c r="B119">
        <v>-27.329999999999998</v>
      </c>
      <c r="C119">
        <v>67.049999999999997</v>
      </c>
      <c r="D119">
        <v>39</v>
      </c>
      <c r="E119">
        <v>38.799999999999997</v>
      </c>
      <c r="F119" s="3">
        <f t="shared" si="27"/>
        <v>12.4</v>
      </c>
      <c r="G119" s="3">
        <f t="shared" si="28"/>
        <v>24.5</v>
      </c>
      <c r="H119" s="3">
        <v>37.5</v>
      </c>
      <c r="I119" s="3">
        <f t="shared" si="29"/>
        <v>10.800000000000001</v>
      </c>
      <c r="J119" s="3">
        <f t="shared" si="30"/>
        <v>-1.2999999999999972</v>
      </c>
      <c r="K119" s="3">
        <f t="shared" si="31"/>
        <v>-23.399999999999949</v>
      </c>
      <c r="L119" s="3">
        <f t="shared" si="32"/>
        <v>-20.799999999999955</v>
      </c>
      <c r="M119" s="3">
        <f t="shared" si="33"/>
        <v>-18.19999999999996</v>
      </c>
      <c r="N119" s="3">
        <f t="shared" si="34"/>
        <v>-15.599999999999966</v>
      </c>
      <c r="O119" s="3">
        <f t="shared" si="35"/>
        <v>-12.999999999999972</v>
      </c>
      <c r="P119" s="3"/>
      <c r="Q119" s="3">
        <v>53.802</v>
      </c>
      <c r="R119" s="3"/>
    </row>
    <row r="120" ht="14.25">
      <c r="A120">
        <v>750090</v>
      </c>
      <c r="B120">
        <v>-28</v>
      </c>
      <c r="C120">
        <v>66.849999999999994</v>
      </c>
      <c r="D120">
        <v>38</v>
      </c>
      <c r="E120">
        <v>38.899999999999999</v>
      </c>
      <c r="F120" s="3">
        <f t="shared" si="27"/>
        <v>12.5</v>
      </c>
      <c r="G120" s="3">
        <f t="shared" si="28"/>
        <v>23.899999999999999</v>
      </c>
      <c r="H120" s="3">
        <v>37.5</v>
      </c>
      <c r="I120" s="3">
        <f t="shared" si="29"/>
        <v>10.5</v>
      </c>
      <c r="J120" s="3">
        <f t="shared" si="30"/>
        <v>-1.3999999999999986</v>
      </c>
      <c r="K120" s="3">
        <f t="shared" si="31"/>
        <v>-25.199999999999974</v>
      </c>
      <c r="L120" s="3">
        <f t="shared" si="32"/>
        <v>-22.399999999999977</v>
      </c>
      <c r="M120" s="3">
        <f t="shared" si="33"/>
        <v>-19.59999999999998</v>
      </c>
      <c r="N120" s="3">
        <f t="shared" si="34"/>
        <v>-16.799999999999983</v>
      </c>
      <c r="O120" s="3">
        <f t="shared" si="35"/>
        <v>-13.999999999999986</v>
      </c>
      <c r="P120" s="3"/>
      <c r="Q120" s="3">
        <v>53.479999999999997</v>
      </c>
      <c r="R120" s="3"/>
    </row>
    <row r="121" ht="14.25">
      <c r="A121">
        <v>756393</v>
      </c>
      <c r="B121">
        <v>-24.670000000000002</v>
      </c>
      <c r="C121">
        <v>66.680000000000007</v>
      </c>
      <c r="D121">
        <v>42</v>
      </c>
      <c r="E121">
        <v>38.799999999999997</v>
      </c>
      <c r="F121" s="3">
        <f t="shared" si="27"/>
        <v>12.6</v>
      </c>
      <c r="G121" s="3">
        <f t="shared" si="28"/>
        <v>26.399999999999999</v>
      </c>
      <c r="H121" s="3">
        <v>37.5</v>
      </c>
      <c r="I121" s="3">
        <f t="shared" si="29"/>
        <v>11.6</v>
      </c>
      <c r="J121" s="3">
        <f t="shared" si="30"/>
        <v>-1.2999999999999972</v>
      </c>
      <c r="K121" s="3">
        <f t="shared" si="31"/>
        <v>-23.399999999999949</v>
      </c>
      <c r="L121" s="3">
        <f t="shared" si="32"/>
        <v>-20.799999999999955</v>
      </c>
      <c r="M121" s="3">
        <f t="shared" si="33"/>
        <v>-18.19999999999996</v>
      </c>
      <c r="N121" s="3">
        <f t="shared" si="34"/>
        <v>-15.599999999999966</v>
      </c>
      <c r="O121" s="3">
        <f t="shared" si="35"/>
        <v>-12.999999999999972</v>
      </c>
      <c r="P121" s="3"/>
      <c r="Q121" s="3">
        <v>53.186</v>
      </c>
      <c r="R121" s="3"/>
    </row>
    <row r="122" ht="14.25">
      <c r="A122">
        <v>762696</v>
      </c>
      <c r="B122">
        <v>-24.670000000000002</v>
      </c>
      <c r="C122">
        <v>66.5</v>
      </c>
      <c r="D122">
        <v>41</v>
      </c>
      <c r="E122">
        <v>38.5</v>
      </c>
      <c r="F122" s="3">
        <f t="shared" si="27"/>
        <v>12.699999999999999</v>
      </c>
      <c r="G122" s="3">
        <f t="shared" si="28"/>
        <v>25.800000000000001</v>
      </c>
      <c r="H122" s="3">
        <v>37.5</v>
      </c>
      <c r="I122" s="3">
        <f t="shared" si="29"/>
        <v>11.300000000000001</v>
      </c>
      <c r="J122" s="3">
        <f t="shared" si="30"/>
        <v>-1</v>
      </c>
      <c r="K122" s="3">
        <f t="shared" si="31"/>
        <v>-18</v>
      </c>
      <c r="L122" s="3">
        <f t="shared" si="32"/>
        <v>-16</v>
      </c>
      <c r="M122" s="3">
        <f t="shared" si="33"/>
        <v>-14</v>
      </c>
      <c r="N122" s="3">
        <f t="shared" si="34"/>
        <v>-12</v>
      </c>
      <c r="O122" s="3">
        <f t="shared" si="35"/>
        <v>-10</v>
      </c>
      <c r="P122" s="3"/>
      <c r="Q122" s="3">
        <v>52.878</v>
      </c>
      <c r="R122" s="3"/>
    </row>
    <row r="123" ht="14.25">
      <c r="A123">
        <v>769001</v>
      </c>
      <c r="B123">
        <v>-23.329999999999998</v>
      </c>
      <c r="C123">
        <v>66.340000000000003</v>
      </c>
      <c r="D123">
        <v>43</v>
      </c>
      <c r="E123">
        <v>38.700000000000003</v>
      </c>
      <c r="F123" s="3">
        <f t="shared" si="27"/>
        <v>12.800000000000001</v>
      </c>
      <c r="G123" s="3">
        <f t="shared" si="28"/>
        <v>27</v>
      </c>
      <c r="H123" s="3">
        <v>37.5</v>
      </c>
      <c r="I123" s="3">
        <f t="shared" si="29"/>
        <v>11.9</v>
      </c>
      <c r="J123" s="3">
        <f t="shared" si="30"/>
        <v>-1.2000000000000028</v>
      </c>
      <c r="K123" s="3">
        <f t="shared" si="31"/>
        <v>-21.600000000000051</v>
      </c>
      <c r="L123" s="3">
        <f t="shared" si="32"/>
        <v>-19.200000000000045</v>
      </c>
      <c r="M123" s="3">
        <f t="shared" si="33"/>
        <v>-16.80000000000004</v>
      </c>
      <c r="N123" s="3">
        <f t="shared" si="34"/>
        <v>-14.400000000000034</v>
      </c>
      <c r="O123" s="3">
        <f t="shared" si="35"/>
        <v>-12.000000000000028</v>
      </c>
      <c r="P123" s="3"/>
      <c r="Q123" s="3">
        <v>52.584000000000003</v>
      </c>
      <c r="R123" s="3"/>
    </row>
    <row r="124" ht="14.25">
      <c r="A124">
        <v>775305</v>
      </c>
      <c r="B124">
        <v>-20.670000000000002</v>
      </c>
      <c r="C124">
        <v>66.200000000000003</v>
      </c>
      <c r="D124">
        <v>45</v>
      </c>
      <c r="E124">
        <v>38.600000000000001</v>
      </c>
      <c r="F124" s="3">
        <f t="shared" si="27"/>
        <v>12.9</v>
      </c>
      <c r="G124" s="3">
        <f t="shared" si="28"/>
        <v>28.300000000000001</v>
      </c>
      <c r="H124" s="3">
        <v>37.5</v>
      </c>
      <c r="I124" s="3">
        <f t="shared" si="29"/>
        <v>12.5</v>
      </c>
      <c r="J124" s="3">
        <f t="shared" si="30"/>
        <v>-1.1000000000000014</v>
      </c>
      <c r="K124" s="3">
        <f t="shared" si="31"/>
        <v>-19.800000000000026</v>
      </c>
      <c r="L124" s="3">
        <f t="shared" si="32"/>
        <v>-17.600000000000023</v>
      </c>
      <c r="M124" s="3">
        <f t="shared" si="33"/>
        <v>-15.40000000000002</v>
      </c>
      <c r="N124" s="3">
        <f t="shared" si="34"/>
        <v>-13.200000000000017</v>
      </c>
      <c r="O124" s="3">
        <f t="shared" si="35"/>
        <v>-11.000000000000014</v>
      </c>
      <c r="P124" s="3"/>
      <c r="Q124" s="3">
        <v>52.304000000000002</v>
      </c>
      <c r="R124" s="3"/>
    </row>
    <row r="125" ht="14.25">
      <c r="A125">
        <v>781608</v>
      </c>
      <c r="B125">
        <v>-20</v>
      </c>
      <c r="C125">
        <v>66.060000000000002</v>
      </c>
      <c r="D125">
        <v>46</v>
      </c>
      <c r="E125">
        <v>38.399999999999999</v>
      </c>
      <c r="F125" s="3">
        <f t="shared" si="27"/>
        <v>13</v>
      </c>
      <c r="G125" s="3">
        <f t="shared" si="28"/>
        <v>28.899999999999999</v>
      </c>
      <c r="H125" s="3">
        <v>37.5</v>
      </c>
      <c r="I125" s="3">
        <f t="shared" si="29"/>
        <v>12.699999999999999</v>
      </c>
      <c r="J125" s="3">
        <f t="shared" si="30"/>
        <v>-0.89999999999999858</v>
      </c>
      <c r="K125" s="3">
        <f t="shared" si="31"/>
        <v>-16.199999999999974</v>
      </c>
      <c r="L125" s="3">
        <f t="shared" si="32"/>
        <v>-14.399999999999977</v>
      </c>
      <c r="M125" s="3">
        <f t="shared" si="33"/>
        <v>-12.59999999999998</v>
      </c>
      <c r="N125" s="3">
        <f t="shared" si="34"/>
        <v>-10.799999999999983</v>
      </c>
      <c r="O125" s="3">
        <f t="shared" si="35"/>
        <v>-8.9999999999999858</v>
      </c>
      <c r="P125" s="3"/>
      <c r="Q125" s="3">
        <v>52.037999999999997</v>
      </c>
      <c r="R125" s="3"/>
    </row>
    <row r="126" ht="14.25">
      <c r="A126">
        <v>787911</v>
      </c>
      <c r="B126">
        <v>-18.670000000000002</v>
      </c>
      <c r="C126">
        <v>65.930000000000007</v>
      </c>
      <c r="D126">
        <v>47</v>
      </c>
      <c r="E126">
        <v>38.5</v>
      </c>
      <c r="F126" s="3">
        <f t="shared" si="27"/>
        <v>13.1</v>
      </c>
      <c r="G126" s="3">
        <f t="shared" si="28"/>
        <v>29.600000000000001</v>
      </c>
      <c r="H126" s="3">
        <v>37.5</v>
      </c>
      <c r="I126" s="3">
        <f t="shared" si="29"/>
        <v>13</v>
      </c>
      <c r="J126" s="3">
        <f t="shared" si="30"/>
        <v>-1</v>
      </c>
      <c r="K126" s="3">
        <f t="shared" si="31"/>
        <v>-18</v>
      </c>
      <c r="L126" s="3">
        <f t="shared" si="32"/>
        <v>-16</v>
      </c>
      <c r="M126" s="3">
        <f t="shared" si="33"/>
        <v>-14</v>
      </c>
      <c r="N126" s="3">
        <f t="shared" si="34"/>
        <v>-12</v>
      </c>
      <c r="O126" s="3">
        <f t="shared" si="35"/>
        <v>-10</v>
      </c>
      <c r="P126" s="3"/>
      <c r="Q126" s="3">
        <v>51.758000000000003</v>
      </c>
      <c r="R126" s="3"/>
    </row>
    <row r="127" ht="14.25">
      <c r="A127">
        <v>794214</v>
      </c>
      <c r="B127">
        <v>-20.670000000000002</v>
      </c>
      <c r="C127">
        <v>65.780000000000001</v>
      </c>
      <c r="D127">
        <v>45</v>
      </c>
      <c r="E127">
        <v>38.600000000000001</v>
      </c>
      <c r="F127" s="3">
        <f t="shared" si="27"/>
        <v>13.199999999999999</v>
      </c>
      <c r="G127" s="3">
        <f t="shared" si="28"/>
        <v>28.300000000000001</v>
      </c>
      <c r="H127" s="3">
        <v>37.5</v>
      </c>
      <c r="I127" s="3">
        <f t="shared" si="29"/>
        <v>12.5</v>
      </c>
      <c r="J127" s="3">
        <f t="shared" si="30"/>
        <v>-1.1000000000000014</v>
      </c>
      <c r="K127" s="3">
        <f t="shared" si="31"/>
        <v>-19.800000000000026</v>
      </c>
      <c r="L127" s="3">
        <f t="shared" si="32"/>
        <v>-17.600000000000023</v>
      </c>
      <c r="M127" s="3">
        <f t="shared" si="33"/>
        <v>-15.40000000000002</v>
      </c>
      <c r="N127" s="3">
        <f t="shared" si="34"/>
        <v>-13.200000000000017</v>
      </c>
      <c r="O127" s="3">
        <f t="shared" si="35"/>
        <v>-11.000000000000014</v>
      </c>
      <c r="P127" s="3"/>
      <c r="Q127" s="3">
        <v>51.520000000000003</v>
      </c>
      <c r="R127" s="3"/>
    </row>
    <row r="128" ht="14.25">
      <c r="A128">
        <v>800517</v>
      </c>
      <c r="B128">
        <v>-16</v>
      </c>
      <c r="C128">
        <v>65.670000000000002</v>
      </c>
      <c r="D128">
        <v>49</v>
      </c>
      <c r="E128">
        <v>38.399999999999999</v>
      </c>
      <c r="F128" s="3">
        <f t="shared" si="27"/>
        <v>13.300000000000001</v>
      </c>
      <c r="G128" s="3">
        <f t="shared" si="28"/>
        <v>30.800000000000001</v>
      </c>
      <c r="H128" s="3">
        <v>37.5</v>
      </c>
      <c r="I128" s="3">
        <f t="shared" si="29"/>
        <v>13.6</v>
      </c>
      <c r="J128" s="3">
        <f t="shared" si="30"/>
        <v>-0.89999999999999858</v>
      </c>
      <c r="K128" s="3">
        <f t="shared" si="31"/>
        <v>-16.199999999999974</v>
      </c>
      <c r="L128" s="3">
        <f t="shared" si="32"/>
        <v>-14.399999999999977</v>
      </c>
      <c r="M128" s="3">
        <f t="shared" si="33"/>
        <v>-12.59999999999998</v>
      </c>
      <c r="N128" s="3">
        <f t="shared" si="34"/>
        <v>-10.799999999999983</v>
      </c>
      <c r="O128" s="3">
        <f t="shared" si="35"/>
        <v>-8.9999999999999858</v>
      </c>
      <c r="P128" s="3"/>
      <c r="Q128" s="3">
        <v>51.281999999999996</v>
      </c>
      <c r="R128" s="3"/>
    </row>
    <row r="129" ht="14.25">
      <c r="A129">
        <v>806820</v>
      </c>
      <c r="B129">
        <v>-15.33</v>
      </c>
      <c r="C129">
        <v>65.560000000000002</v>
      </c>
      <c r="D129">
        <v>50</v>
      </c>
      <c r="E129">
        <v>38.299999999999997</v>
      </c>
      <c r="F129" s="3">
        <f t="shared" si="27"/>
        <v>13.4</v>
      </c>
      <c r="G129" s="3">
        <f t="shared" si="28"/>
        <v>31.399999999999999</v>
      </c>
      <c r="H129" s="3">
        <v>37.5</v>
      </c>
      <c r="I129" s="3">
        <f t="shared" si="29"/>
        <v>13.800000000000001</v>
      </c>
      <c r="J129" s="3">
        <f t="shared" si="30"/>
        <v>-0.79999999999999716</v>
      </c>
      <c r="K129" s="3">
        <f t="shared" si="31"/>
        <v>-14.399999999999949</v>
      </c>
      <c r="L129" s="3">
        <f t="shared" si="32"/>
        <v>-12.799999999999955</v>
      </c>
      <c r="M129" s="3">
        <f t="shared" si="33"/>
        <v>-11.19999999999996</v>
      </c>
      <c r="N129" s="3">
        <f t="shared" si="34"/>
        <v>-9.5999999999999659</v>
      </c>
      <c r="O129" s="3">
        <f t="shared" si="35"/>
        <v>-7.9999999999999716</v>
      </c>
      <c r="P129" s="3"/>
      <c r="Q129" s="3">
        <v>51.058</v>
      </c>
      <c r="R129" s="3"/>
    </row>
    <row r="130" ht="14.25">
      <c r="A130">
        <v>813123</v>
      </c>
      <c r="B130">
        <v>-12</v>
      </c>
      <c r="C130">
        <v>65.480000000000004</v>
      </c>
      <c r="D130">
        <v>53</v>
      </c>
      <c r="E130">
        <v>38.200000000000003</v>
      </c>
      <c r="F130" s="3">
        <f t="shared" si="27"/>
        <v>13.6</v>
      </c>
      <c r="G130" s="3">
        <f t="shared" si="28"/>
        <v>33.299999999999997</v>
      </c>
      <c r="H130" s="3">
        <v>37.5</v>
      </c>
      <c r="I130" s="3">
        <f t="shared" si="29"/>
        <v>14.699999999999999</v>
      </c>
      <c r="J130" s="3">
        <f t="shared" si="30"/>
        <v>-0.70000000000000284</v>
      </c>
      <c r="K130" s="3">
        <f t="shared" si="31"/>
        <v>-12.600000000000051</v>
      </c>
      <c r="L130" s="3">
        <f t="shared" si="32"/>
        <v>-11.200000000000045</v>
      </c>
      <c r="M130" s="3">
        <f t="shared" si="33"/>
        <v>-9.8000000000000398</v>
      </c>
      <c r="N130" s="3">
        <f t="shared" si="34"/>
        <v>-8.4000000000000341</v>
      </c>
      <c r="O130" s="3">
        <f t="shared" si="35"/>
        <v>-7.0000000000000284</v>
      </c>
      <c r="P130" s="3"/>
      <c r="Q130" s="3">
        <v>50.834000000000003</v>
      </c>
      <c r="R130" s="3"/>
    </row>
    <row r="131" ht="14.25">
      <c r="A131">
        <v>819426</v>
      </c>
      <c r="B131">
        <v>-14</v>
      </c>
      <c r="C131">
        <v>65.379999999999995</v>
      </c>
      <c r="D131">
        <v>51</v>
      </c>
      <c r="E131">
        <v>38.200000000000003</v>
      </c>
      <c r="F131" s="3">
        <f t="shared" si="27"/>
        <v>13.699999999999999</v>
      </c>
      <c r="G131" s="3">
        <f t="shared" si="28"/>
        <v>32.100000000000001</v>
      </c>
      <c r="H131" s="3">
        <v>37.5</v>
      </c>
      <c r="I131" s="3">
        <f t="shared" si="29"/>
        <v>14.1</v>
      </c>
      <c r="J131" s="3">
        <f t="shared" si="30"/>
        <v>-0.70000000000000284</v>
      </c>
      <c r="K131" s="3">
        <f t="shared" si="31"/>
        <v>-12.600000000000051</v>
      </c>
      <c r="L131" s="3">
        <f t="shared" si="32"/>
        <v>-11.200000000000045</v>
      </c>
      <c r="M131" s="3">
        <f t="shared" si="33"/>
        <v>-9.8000000000000398</v>
      </c>
      <c r="N131" s="3">
        <f t="shared" si="34"/>
        <v>-8.4000000000000341</v>
      </c>
      <c r="O131" s="3">
        <f t="shared" si="35"/>
        <v>-7.0000000000000284</v>
      </c>
      <c r="P131" s="3"/>
      <c r="Q131" s="3">
        <v>50.624000000000002</v>
      </c>
      <c r="R131" s="3"/>
    </row>
    <row r="132" ht="14.25">
      <c r="A132">
        <v>825730</v>
      </c>
      <c r="B132">
        <v>-12</v>
      </c>
      <c r="C132">
        <v>65.299999999999997</v>
      </c>
      <c r="D132">
        <v>53</v>
      </c>
      <c r="E132">
        <v>38</v>
      </c>
      <c r="F132" s="3">
        <f t="shared" si="27"/>
        <v>13.800000000000001</v>
      </c>
      <c r="G132" s="3">
        <f t="shared" si="28"/>
        <v>33.299999999999997</v>
      </c>
      <c r="H132" s="3">
        <v>37.5</v>
      </c>
      <c r="I132" s="3">
        <f t="shared" si="29"/>
        <v>14.699999999999999</v>
      </c>
      <c r="J132" s="3">
        <f t="shared" si="30"/>
        <v>-0.5</v>
      </c>
      <c r="K132" s="3">
        <f t="shared" si="31"/>
        <v>-9</v>
      </c>
      <c r="L132" s="3">
        <f t="shared" si="32"/>
        <v>-8</v>
      </c>
      <c r="M132" s="3">
        <f t="shared" si="33"/>
        <v>-7</v>
      </c>
      <c r="N132" s="3">
        <f t="shared" si="34"/>
        <v>-6</v>
      </c>
      <c r="O132" s="3">
        <f t="shared" si="35"/>
        <v>-5</v>
      </c>
      <c r="P132" s="3"/>
      <c r="Q132" s="3">
        <v>50.414000000000001</v>
      </c>
      <c r="R132" s="3"/>
    </row>
    <row r="133" ht="14.25">
      <c r="A133">
        <v>832032</v>
      </c>
      <c r="B133">
        <v>-11.33</v>
      </c>
      <c r="C133">
        <v>65.219999999999999</v>
      </c>
      <c r="D133">
        <v>53</v>
      </c>
      <c r="E133">
        <v>38.100000000000001</v>
      </c>
      <c r="F133" s="3">
        <f t="shared" si="27"/>
        <v>13.9</v>
      </c>
      <c r="G133" s="3">
        <f t="shared" si="28"/>
        <v>33.299999999999997</v>
      </c>
      <c r="H133" s="3">
        <v>37.5</v>
      </c>
      <c r="I133" s="3">
        <f t="shared" si="29"/>
        <v>14.699999999999999</v>
      </c>
      <c r="J133" s="3">
        <f t="shared" si="30"/>
        <v>-0.60000000000000142</v>
      </c>
      <c r="K133" s="3">
        <f t="shared" si="31"/>
        <v>-10.800000000000026</v>
      </c>
      <c r="L133" s="3">
        <f t="shared" si="32"/>
        <v>-9.6000000000000227</v>
      </c>
      <c r="M133" s="3">
        <f t="shared" si="33"/>
        <v>-8.4000000000000199</v>
      </c>
      <c r="N133" s="3">
        <f t="shared" si="34"/>
        <v>-7.2000000000000171</v>
      </c>
      <c r="O133" s="3">
        <f t="shared" si="35"/>
        <v>-6.0000000000000142</v>
      </c>
      <c r="P133" s="3"/>
      <c r="Q133" s="3">
        <v>50.231999999999999</v>
      </c>
      <c r="R133" s="3"/>
    </row>
    <row r="134" ht="14.25">
      <c r="A134">
        <v>838335</v>
      </c>
      <c r="B134">
        <v>-8.6699999999999999</v>
      </c>
      <c r="C134">
        <v>65.159999999999997</v>
      </c>
      <c r="D134">
        <v>56</v>
      </c>
      <c r="E134">
        <v>38</v>
      </c>
      <c r="F134" s="3">
        <f t="shared" si="27"/>
        <v>14</v>
      </c>
      <c r="G134" s="3">
        <f t="shared" si="28"/>
        <v>35.200000000000003</v>
      </c>
      <c r="H134" s="3">
        <v>37.5</v>
      </c>
      <c r="I134" s="3">
        <f t="shared" si="29"/>
        <v>15.5</v>
      </c>
      <c r="J134" s="3">
        <f t="shared" si="30"/>
        <v>-0.5</v>
      </c>
      <c r="K134" s="3">
        <f t="shared" si="31"/>
        <v>-9</v>
      </c>
      <c r="L134" s="3">
        <f t="shared" si="32"/>
        <v>-8</v>
      </c>
      <c r="M134" s="3">
        <f t="shared" si="33"/>
        <v>-7</v>
      </c>
      <c r="N134" s="3">
        <f t="shared" si="34"/>
        <v>-6</v>
      </c>
      <c r="O134" s="3">
        <f t="shared" si="35"/>
        <v>-5</v>
      </c>
      <c r="P134" s="3"/>
      <c r="Q134" s="3">
        <v>50.049999999999997</v>
      </c>
      <c r="R134" s="3"/>
    </row>
    <row r="135" ht="14.25">
      <c r="A135">
        <v>844639</v>
      </c>
      <c r="B135">
        <v>-8</v>
      </c>
      <c r="C135">
        <v>65.099999999999994</v>
      </c>
      <c r="D135">
        <v>57</v>
      </c>
      <c r="E135">
        <v>38</v>
      </c>
      <c r="F135" s="3">
        <f t="shared" si="27"/>
        <v>14.1</v>
      </c>
      <c r="G135" s="3">
        <f t="shared" si="28"/>
        <v>35.799999999999997</v>
      </c>
      <c r="H135" s="3">
        <v>37.5</v>
      </c>
      <c r="I135" s="3">
        <f t="shared" si="29"/>
        <v>15.800000000000001</v>
      </c>
      <c r="J135" s="3">
        <f t="shared" si="30"/>
        <v>-0.5</v>
      </c>
      <c r="K135" s="3">
        <f t="shared" si="31"/>
        <v>-9</v>
      </c>
      <c r="L135" s="3">
        <f t="shared" si="32"/>
        <v>-8</v>
      </c>
      <c r="M135" s="3">
        <f t="shared" si="33"/>
        <v>-7</v>
      </c>
      <c r="N135" s="3">
        <f t="shared" si="34"/>
        <v>-6</v>
      </c>
      <c r="O135" s="3">
        <f t="shared" si="35"/>
        <v>-5</v>
      </c>
      <c r="P135" s="3"/>
      <c r="Q135" s="3">
        <v>49.868000000000002</v>
      </c>
      <c r="R135" s="3"/>
    </row>
    <row r="136" ht="14.25">
      <c r="A136">
        <v>850942</v>
      </c>
      <c r="B136">
        <v>-6</v>
      </c>
      <c r="C136">
        <v>65.060000000000002</v>
      </c>
      <c r="D136">
        <v>59</v>
      </c>
      <c r="E136">
        <v>37.899999999999999</v>
      </c>
      <c r="F136" s="3">
        <f t="shared" si="27"/>
        <v>14.199999999999999</v>
      </c>
      <c r="G136" s="3">
        <f t="shared" si="28"/>
        <v>37.100000000000001</v>
      </c>
      <c r="H136" s="3">
        <v>37.5</v>
      </c>
      <c r="I136" s="3">
        <f t="shared" si="29"/>
        <v>16.300000000000001</v>
      </c>
      <c r="J136" s="3">
        <f t="shared" si="30"/>
        <v>-0.39999999999999858</v>
      </c>
      <c r="K136" s="3">
        <f t="shared" si="31"/>
        <v>-7.1999999999999744</v>
      </c>
      <c r="L136" s="3">
        <f t="shared" si="32"/>
        <v>-6.3999999999999773</v>
      </c>
      <c r="M136" s="3">
        <f t="shared" si="33"/>
        <v>-5.5999999999999801</v>
      </c>
      <c r="N136" s="3">
        <f t="shared" si="34"/>
        <v>-4.7999999999999829</v>
      </c>
      <c r="O136" s="3">
        <f t="shared" si="35"/>
        <v>-3.9999999999999858</v>
      </c>
      <c r="P136" s="3"/>
      <c r="Q136" s="3">
        <v>49.700000000000003</v>
      </c>
      <c r="R136" s="3"/>
    </row>
    <row r="137" ht="14.25">
      <c r="A137">
        <v>857246</v>
      </c>
      <c r="B137">
        <v>-3.3300000000000001</v>
      </c>
      <c r="C137">
        <v>65.030000000000001</v>
      </c>
      <c r="D137">
        <v>61</v>
      </c>
      <c r="E137">
        <v>37.600000000000001</v>
      </c>
      <c r="F137" s="3">
        <f t="shared" si="27"/>
        <v>14.300000000000001</v>
      </c>
      <c r="G137" s="3">
        <f t="shared" si="28"/>
        <v>38.399999999999999</v>
      </c>
      <c r="H137" s="3">
        <v>37.5</v>
      </c>
      <c r="I137" s="3">
        <f t="shared" si="29"/>
        <v>16.899999999999999</v>
      </c>
      <c r="J137" s="3">
        <f t="shared" si="30"/>
        <v>-0.10000000000000142</v>
      </c>
      <c r="K137" s="3">
        <f t="shared" si="31"/>
        <v>-1.8000000000000256</v>
      </c>
      <c r="L137" s="3">
        <f t="shared" si="32"/>
        <v>-1.6000000000000227</v>
      </c>
      <c r="M137" s="3">
        <f t="shared" si="33"/>
        <v>-1.4000000000000199</v>
      </c>
      <c r="N137" s="3">
        <f t="shared" si="34"/>
        <v>-1.2000000000000171</v>
      </c>
      <c r="O137" s="3">
        <f t="shared" si="35"/>
        <v>-1.0000000000000142</v>
      </c>
      <c r="P137" s="3"/>
      <c r="Q137" s="3">
        <v>49.560000000000002</v>
      </c>
      <c r="R137" s="3"/>
    </row>
    <row r="138" ht="14.25">
      <c r="A138">
        <v>863550</v>
      </c>
      <c r="B138">
        <v>-3.3300000000000001</v>
      </c>
      <c r="C138">
        <v>65.010000000000005</v>
      </c>
      <c r="D138">
        <v>61</v>
      </c>
      <c r="E138">
        <v>37.700000000000003</v>
      </c>
      <c r="F138" s="3">
        <f t="shared" si="27"/>
        <v>14.4</v>
      </c>
      <c r="G138" s="3">
        <f t="shared" si="28"/>
        <v>38.399999999999999</v>
      </c>
      <c r="H138" s="3">
        <v>37.5</v>
      </c>
      <c r="I138" s="3">
        <f t="shared" si="29"/>
        <v>16.899999999999999</v>
      </c>
      <c r="J138" s="3">
        <f t="shared" si="30"/>
        <v>-0.20000000000000284</v>
      </c>
      <c r="K138" s="3">
        <f t="shared" si="31"/>
        <v>-3.6000000000000512</v>
      </c>
      <c r="L138" s="3">
        <f t="shared" si="32"/>
        <v>-3.2000000000000455</v>
      </c>
      <c r="M138" s="3">
        <f t="shared" si="33"/>
        <v>-2.8000000000000398</v>
      </c>
      <c r="N138" s="3">
        <f t="shared" si="34"/>
        <v>-2.4000000000000341</v>
      </c>
      <c r="O138" s="3">
        <f t="shared" si="35"/>
        <v>-2.0000000000000284</v>
      </c>
      <c r="P138" s="3"/>
      <c r="Q138" s="3">
        <v>49.448</v>
      </c>
      <c r="R138" s="3"/>
    </row>
    <row r="139" ht="14.25">
      <c r="A139">
        <v>869854</v>
      </c>
      <c r="B139">
        <v>-2</v>
      </c>
      <c r="C139">
        <v>65</v>
      </c>
      <c r="D139">
        <v>62</v>
      </c>
      <c r="E139">
        <v>37.700000000000003</v>
      </c>
      <c r="F139" s="3">
        <f t="shared" si="27"/>
        <v>14.5</v>
      </c>
      <c r="G139" s="3">
        <f t="shared" si="28"/>
        <v>39</v>
      </c>
      <c r="H139" s="3">
        <v>37.5</v>
      </c>
      <c r="I139" s="3">
        <f t="shared" si="29"/>
        <v>17.199999999999999</v>
      </c>
      <c r="J139" s="3">
        <f t="shared" si="30"/>
        <v>-0.20000000000000284</v>
      </c>
      <c r="K139" s="3">
        <f t="shared" si="31"/>
        <v>-3.6000000000000512</v>
      </c>
      <c r="L139" s="3">
        <f t="shared" si="32"/>
        <v>-3.2000000000000455</v>
      </c>
      <c r="M139" s="3">
        <f t="shared" si="33"/>
        <v>-2.8000000000000398</v>
      </c>
      <c r="N139" s="3">
        <f t="shared" si="34"/>
        <v>-2.4000000000000341</v>
      </c>
      <c r="O139" s="3">
        <f t="shared" si="35"/>
        <v>-2.0000000000000284</v>
      </c>
      <c r="P139" s="3"/>
      <c r="Q139" s="3">
        <v>49.335999999999999</v>
      </c>
      <c r="R139" s="3"/>
    </row>
    <row r="140" ht="14.25">
      <c r="A140">
        <v>876156</v>
      </c>
      <c r="B140">
        <v>-1.3300000000000001</v>
      </c>
      <c r="C140">
        <v>64.989999999999995</v>
      </c>
      <c r="D140">
        <v>63</v>
      </c>
      <c r="E140">
        <v>37.5</v>
      </c>
      <c r="F140" s="3">
        <f t="shared" si="27"/>
        <v>14.6</v>
      </c>
      <c r="G140" s="3">
        <f t="shared" si="28"/>
        <v>39.600000000000001</v>
      </c>
      <c r="H140" s="3">
        <v>37.5</v>
      </c>
      <c r="I140" s="3">
        <f t="shared" si="29"/>
        <v>17.399999999999999</v>
      </c>
      <c r="J140" s="3">
        <f t="shared" si="30"/>
        <v>0</v>
      </c>
      <c r="K140" s="3">
        <f t="shared" si="31"/>
        <v>0</v>
      </c>
      <c r="L140" s="3">
        <f t="shared" si="32"/>
        <v>0</v>
      </c>
      <c r="M140" s="3">
        <f t="shared" si="33"/>
        <v>0</v>
      </c>
      <c r="N140" s="3">
        <f t="shared" si="34"/>
        <v>0</v>
      </c>
      <c r="O140" s="3">
        <f t="shared" si="35"/>
        <v>0</v>
      </c>
      <c r="P140" s="3"/>
      <c r="Q140" s="3">
        <v>49.223999999999997</v>
      </c>
      <c r="R140" s="3"/>
    </row>
    <row r="141" ht="14.25">
      <c r="A141">
        <v>882459</v>
      </c>
      <c r="B141">
        <v>1.3300000000000001</v>
      </c>
      <c r="C141">
        <v>65</v>
      </c>
      <c r="D141">
        <v>66</v>
      </c>
      <c r="E141">
        <v>37.299999999999997</v>
      </c>
      <c r="F141" s="3">
        <f t="shared" si="27"/>
        <v>14.699999999999999</v>
      </c>
      <c r="G141" s="3">
        <f t="shared" si="28"/>
        <v>41.5</v>
      </c>
      <c r="H141" s="3">
        <v>37.5</v>
      </c>
      <c r="I141" s="3">
        <f t="shared" si="29"/>
        <v>18.300000000000001</v>
      </c>
      <c r="J141" s="3">
        <f t="shared" si="30"/>
        <v>0.20000000000000284</v>
      </c>
      <c r="K141" s="3">
        <f t="shared" si="31"/>
        <v>3.6000000000000512</v>
      </c>
      <c r="L141" s="3">
        <f t="shared" si="32"/>
        <v>3.2000000000000455</v>
      </c>
      <c r="M141" s="3">
        <f t="shared" si="33"/>
        <v>2.8000000000000398</v>
      </c>
      <c r="N141" s="3">
        <f t="shared" si="34"/>
        <v>2.4000000000000341</v>
      </c>
      <c r="O141" s="3">
        <f t="shared" si="35"/>
        <v>2.0000000000000284</v>
      </c>
      <c r="P141" s="3"/>
      <c r="Q141" s="3">
        <v>49.084000000000003</v>
      </c>
      <c r="R141" s="3"/>
    </row>
    <row r="142" ht="14.25">
      <c r="A142">
        <v>888761</v>
      </c>
      <c r="B142">
        <v>0.67000000000000004</v>
      </c>
      <c r="C142">
        <v>65</v>
      </c>
      <c r="D142">
        <v>65</v>
      </c>
      <c r="E142">
        <v>37.399999999999999</v>
      </c>
      <c r="F142" s="3">
        <f t="shared" si="27"/>
        <v>14.800000000000001</v>
      </c>
      <c r="G142" s="3">
        <f t="shared" si="28"/>
        <v>40.899999999999999</v>
      </c>
      <c r="H142" s="3">
        <v>37.5</v>
      </c>
      <c r="I142" s="3">
        <f t="shared" si="29"/>
        <v>18</v>
      </c>
      <c r="J142" s="3">
        <f t="shared" si="30"/>
        <v>0.10000000000000142</v>
      </c>
      <c r="K142" s="3">
        <f t="shared" si="31"/>
        <v>1.8000000000000256</v>
      </c>
      <c r="L142" s="3">
        <f t="shared" si="32"/>
        <v>1.6000000000000227</v>
      </c>
      <c r="M142" s="3">
        <f t="shared" si="33"/>
        <v>1.4000000000000199</v>
      </c>
      <c r="N142" s="3">
        <f t="shared" si="34"/>
        <v>1.2000000000000171</v>
      </c>
      <c r="O142" s="3">
        <f t="shared" si="35"/>
        <v>1.0000000000000142</v>
      </c>
      <c r="P142" s="3"/>
      <c r="Q142" s="3">
        <v>49</v>
      </c>
      <c r="R142" s="3"/>
    </row>
    <row r="143" ht="14.25">
      <c r="A143">
        <v>895066</v>
      </c>
      <c r="B143">
        <v>2</v>
      </c>
      <c r="C143">
        <v>65.019999999999996</v>
      </c>
      <c r="D143">
        <v>67</v>
      </c>
      <c r="E143">
        <v>37.399999999999999</v>
      </c>
      <c r="F143" s="3">
        <f t="shared" si="27"/>
        <v>14.9</v>
      </c>
      <c r="G143" s="3">
        <f t="shared" si="28"/>
        <v>42.100000000000001</v>
      </c>
      <c r="H143" s="3">
        <v>37.5</v>
      </c>
      <c r="I143" s="3">
        <f t="shared" si="29"/>
        <v>18.5</v>
      </c>
      <c r="J143" s="3">
        <f t="shared" si="30"/>
        <v>0.10000000000000142</v>
      </c>
      <c r="K143" s="3">
        <f t="shared" si="31"/>
        <v>1.8000000000000256</v>
      </c>
      <c r="L143" s="3">
        <f t="shared" si="32"/>
        <v>1.6000000000000227</v>
      </c>
      <c r="M143" s="3">
        <f t="shared" si="33"/>
        <v>1.4000000000000199</v>
      </c>
      <c r="N143" s="3">
        <f t="shared" si="34"/>
        <v>1.2000000000000171</v>
      </c>
      <c r="O143" s="3">
        <f t="shared" si="35"/>
        <v>1.0000000000000142</v>
      </c>
      <c r="P143" s="3"/>
      <c r="Q143" s="3">
        <v>48.915999999999997</v>
      </c>
      <c r="R143" s="3"/>
    </row>
    <row r="144" ht="14.25">
      <c r="A144">
        <v>901368</v>
      </c>
      <c r="B144">
        <v>2.6699999999999999</v>
      </c>
      <c r="C144">
        <v>65.030000000000001</v>
      </c>
      <c r="D144">
        <v>67</v>
      </c>
      <c r="E144">
        <v>37.299999999999997</v>
      </c>
      <c r="F144" s="3">
        <f t="shared" si="27"/>
        <v>15</v>
      </c>
      <c r="G144" s="3">
        <f t="shared" si="28"/>
        <v>42.100000000000001</v>
      </c>
      <c r="H144" s="3">
        <v>37.5</v>
      </c>
      <c r="I144" s="3">
        <f t="shared" si="29"/>
        <v>18.5</v>
      </c>
      <c r="J144" s="3">
        <f t="shared" si="30"/>
        <v>0.20000000000000284</v>
      </c>
      <c r="K144" s="3">
        <f t="shared" si="31"/>
        <v>3.6000000000000512</v>
      </c>
      <c r="L144" s="3">
        <f t="shared" si="32"/>
        <v>3.2000000000000455</v>
      </c>
      <c r="M144" s="3">
        <f t="shared" si="33"/>
        <v>2.8000000000000398</v>
      </c>
      <c r="N144" s="3">
        <f t="shared" si="34"/>
        <v>2.4000000000000341</v>
      </c>
      <c r="O144" s="3">
        <f t="shared" si="35"/>
        <v>2.0000000000000284</v>
      </c>
      <c r="P144" s="3"/>
      <c r="Q144" s="3">
        <v>48.832000000000001</v>
      </c>
      <c r="R144" s="3"/>
    </row>
    <row r="145" ht="14.25">
      <c r="A145">
        <v>907671</v>
      </c>
      <c r="B145">
        <v>6</v>
      </c>
      <c r="C145">
        <v>65.079999999999998</v>
      </c>
      <c r="D145">
        <v>71</v>
      </c>
      <c r="E145">
        <v>37.200000000000003</v>
      </c>
      <c r="F145" s="3">
        <f t="shared" si="27"/>
        <v>15.1</v>
      </c>
      <c r="G145" s="3">
        <f t="shared" si="28"/>
        <v>44.700000000000003</v>
      </c>
      <c r="H145" s="3">
        <v>37.5</v>
      </c>
      <c r="I145" s="3">
        <f t="shared" si="29"/>
        <v>19.600000000000001</v>
      </c>
      <c r="J145" s="3">
        <f t="shared" si="30"/>
        <v>0.29999999999999716</v>
      </c>
      <c r="K145" s="3">
        <f t="shared" si="31"/>
        <v>5.3999999999999488</v>
      </c>
      <c r="L145" s="3">
        <f t="shared" si="32"/>
        <v>4.7999999999999545</v>
      </c>
      <c r="M145" s="3">
        <f t="shared" si="33"/>
        <v>4.1999999999999602</v>
      </c>
      <c r="N145" s="3">
        <f t="shared" si="34"/>
        <v>3.5999999999999659</v>
      </c>
      <c r="O145" s="3">
        <f t="shared" si="35"/>
        <v>2.9999999999999716</v>
      </c>
      <c r="P145" s="3"/>
      <c r="Q145" s="3">
        <v>48.747999999999998</v>
      </c>
      <c r="R145" s="3"/>
    </row>
    <row r="146" ht="14.25">
      <c r="A146">
        <v>913974</v>
      </c>
      <c r="B146">
        <v>3.3300000000000001</v>
      </c>
      <c r="C146">
        <v>65.099999999999994</v>
      </c>
      <c r="D146">
        <v>68</v>
      </c>
      <c r="E146">
        <v>37.399999999999999</v>
      </c>
      <c r="F146" s="3">
        <f t="shared" si="27"/>
        <v>15.199999999999999</v>
      </c>
      <c r="G146" s="3">
        <f t="shared" si="28"/>
        <v>42.799999999999997</v>
      </c>
      <c r="H146" s="3">
        <v>37.5</v>
      </c>
      <c r="I146" s="3">
        <f t="shared" si="29"/>
        <v>18.800000000000001</v>
      </c>
      <c r="J146" s="3">
        <f t="shared" si="30"/>
        <v>0.10000000000000142</v>
      </c>
      <c r="K146" s="3">
        <f t="shared" si="31"/>
        <v>1.8000000000000256</v>
      </c>
      <c r="L146" s="3">
        <f t="shared" si="32"/>
        <v>1.6000000000000227</v>
      </c>
      <c r="M146" s="3">
        <f t="shared" si="33"/>
        <v>1.4000000000000199</v>
      </c>
      <c r="N146" s="3">
        <f t="shared" si="34"/>
        <v>1.2000000000000171</v>
      </c>
      <c r="O146" s="3">
        <f t="shared" si="35"/>
        <v>1.0000000000000142</v>
      </c>
      <c r="P146" s="3"/>
      <c r="Q146" s="3">
        <v>48.692</v>
      </c>
      <c r="R146" s="3"/>
    </row>
    <row r="147" ht="14.25">
      <c r="A147">
        <v>920278</v>
      </c>
      <c r="B147">
        <v>6.6699999999999999</v>
      </c>
      <c r="C147">
        <v>65.150000000000006</v>
      </c>
      <c r="D147">
        <v>71</v>
      </c>
      <c r="E147">
        <v>37.100000000000001</v>
      </c>
      <c r="F147" s="3">
        <f t="shared" si="27"/>
        <v>15.300000000000001</v>
      </c>
      <c r="G147" s="3">
        <f t="shared" si="28"/>
        <v>44.700000000000003</v>
      </c>
      <c r="H147" s="3">
        <v>37.5</v>
      </c>
      <c r="I147" s="3">
        <f t="shared" si="29"/>
        <v>19.600000000000001</v>
      </c>
      <c r="J147" s="3">
        <f t="shared" si="30"/>
        <v>0.39999999999999858</v>
      </c>
      <c r="K147" s="3">
        <f t="shared" si="31"/>
        <v>7.1999999999999744</v>
      </c>
      <c r="L147" s="3">
        <f t="shared" si="32"/>
        <v>6.3999999999999773</v>
      </c>
      <c r="M147" s="3">
        <f t="shared" si="33"/>
        <v>5.5999999999999801</v>
      </c>
      <c r="N147" s="3">
        <f t="shared" si="34"/>
        <v>4.7999999999999829</v>
      </c>
      <c r="O147" s="3">
        <f t="shared" si="35"/>
        <v>3.9999999999999858</v>
      </c>
      <c r="P147" s="3"/>
      <c r="Q147" s="3">
        <v>48.649999999999999</v>
      </c>
      <c r="R147" s="3"/>
    </row>
    <row r="148" ht="14.25">
      <c r="A148">
        <v>926580</v>
      </c>
      <c r="B148">
        <v>8</v>
      </c>
      <c r="C148">
        <v>65.200000000000003</v>
      </c>
      <c r="D148">
        <v>73</v>
      </c>
      <c r="E148">
        <v>37.100000000000001</v>
      </c>
      <c r="F148" s="3">
        <f t="shared" si="27"/>
        <v>15.4</v>
      </c>
      <c r="G148" s="3">
        <f t="shared" si="28"/>
        <v>45.899999999999999</v>
      </c>
      <c r="H148" s="3">
        <v>37.5</v>
      </c>
      <c r="I148" s="3">
        <f t="shared" si="29"/>
        <v>20.199999999999999</v>
      </c>
      <c r="J148" s="3">
        <f t="shared" si="30"/>
        <v>0.39999999999999858</v>
      </c>
      <c r="K148" s="3">
        <f t="shared" si="31"/>
        <v>7.1999999999999744</v>
      </c>
      <c r="L148" s="3">
        <f t="shared" si="32"/>
        <v>6.3999999999999773</v>
      </c>
      <c r="M148" s="3">
        <f t="shared" si="33"/>
        <v>5.5999999999999801</v>
      </c>
      <c r="N148" s="3">
        <f t="shared" si="34"/>
        <v>4.7999999999999829</v>
      </c>
      <c r="O148" s="3">
        <f t="shared" si="35"/>
        <v>3.9999999999999858</v>
      </c>
      <c r="P148" s="3"/>
      <c r="Q148" s="3">
        <v>48.607999999999997</v>
      </c>
      <c r="R148" s="3"/>
    </row>
    <row r="149" ht="14.25">
      <c r="A149">
        <v>932884</v>
      </c>
      <c r="B149">
        <v>8</v>
      </c>
      <c r="C149">
        <v>65.260000000000005</v>
      </c>
      <c r="D149">
        <v>73</v>
      </c>
      <c r="E149">
        <v>37.100000000000001</v>
      </c>
      <c r="F149" s="3">
        <f t="shared" si="27"/>
        <v>15.5</v>
      </c>
      <c r="G149" s="3">
        <f t="shared" si="28"/>
        <v>45.899999999999999</v>
      </c>
      <c r="H149" s="3">
        <v>37.5</v>
      </c>
      <c r="I149" s="3">
        <f t="shared" si="29"/>
        <v>20.199999999999999</v>
      </c>
      <c r="J149" s="3">
        <f t="shared" si="30"/>
        <v>0.39999999999999858</v>
      </c>
      <c r="K149" s="3">
        <f t="shared" si="31"/>
        <v>7.1999999999999744</v>
      </c>
      <c r="L149" s="3">
        <f t="shared" si="32"/>
        <v>6.3999999999999773</v>
      </c>
      <c r="M149" s="3">
        <f t="shared" si="33"/>
        <v>5.5999999999999801</v>
      </c>
      <c r="N149" s="3">
        <f t="shared" si="34"/>
        <v>4.7999999999999829</v>
      </c>
      <c r="O149" s="3">
        <f t="shared" si="35"/>
        <v>3.9999999999999858</v>
      </c>
      <c r="P149" s="3"/>
      <c r="Q149" s="3">
        <v>48.594000000000001</v>
      </c>
      <c r="R149" s="3"/>
    </row>
    <row r="150" ht="14.25">
      <c r="A150">
        <v>939188</v>
      </c>
      <c r="B150">
        <v>8.6699999999999999</v>
      </c>
      <c r="C150">
        <v>65.319999999999993</v>
      </c>
      <c r="D150">
        <v>73</v>
      </c>
      <c r="E150">
        <v>37.100000000000001</v>
      </c>
      <c r="F150" s="3">
        <f t="shared" si="27"/>
        <v>15.699999999999999</v>
      </c>
      <c r="G150" s="3">
        <f t="shared" si="28"/>
        <v>45.899999999999999</v>
      </c>
      <c r="H150" s="3">
        <v>37.5</v>
      </c>
      <c r="I150" s="3">
        <f t="shared" si="29"/>
        <v>20.199999999999999</v>
      </c>
      <c r="J150" s="3">
        <f t="shared" si="30"/>
        <v>0.39999999999999858</v>
      </c>
      <c r="K150" s="3">
        <f t="shared" si="31"/>
        <v>7.1999999999999744</v>
      </c>
      <c r="L150" s="3">
        <f t="shared" si="32"/>
        <v>6.3999999999999773</v>
      </c>
      <c r="M150" s="3">
        <f t="shared" si="33"/>
        <v>5.5999999999999801</v>
      </c>
      <c r="N150" s="3">
        <f t="shared" si="34"/>
        <v>4.7999999999999829</v>
      </c>
      <c r="O150" s="3">
        <f t="shared" si="35"/>
        <v>3.9999999999999858</v>
      </c>
      <c r="P150" s="3"/>
      <c r="Q150" s="3">
        <v>48.552</v>
      </c>
      <c r="R150" s="3"/>
    </row>
    <row r="151" ht="14.25">
      <c r="A151">
        <v>945491</v>
      </c>
      <c r="B151">
        <v>9.3300000000000001</v>
      </c>
      <c r="C151">
        <v>65.379999999999995</v>
      </c>
      <c r="D151">
        <v>74</v>
      </c>
      <c r="E151">
        <v>37</v>
      </c>
      <c r="F151" s="3">
        <f t="shared" si="27"/>
        <v>15.800000000000001</v>
      </c>
      <c r="G151" s="3">
        <f t="shared" si="28"/>
        <v>46.5</v>
      </c>
      <c r="H151" s="3">
        <v>37.5</v>
      </c>
      <c r="I151" s="3">
        <f t="shared" si="29"/>
        <v>20.5</v>
      </c>
      <c r="J151" s="3">
        <f t="shared" si="30"/>
        <v>0.5</v>
      </c>
      <c r="K151" s="3">
        <f t="shared" si="31"/>
        <v>9</v>
      </c>
      <c r="L151" s="3">
        <f t="shared" si="32"/>
        <v>8</v>
      </c>
      <c r="M151" s="3">
        <f t="shared" si="33"/>
        <v>7</v>
      </c>
      <c r="N151" s="3">
        <f t="shared" si="34"/>
        <v>6</v>
      </c>
      <c r="O151" s="3">
        <f t="shared" si="35"/>
        <v>5</v>
      </c>
      <c r="P151" s="3"/>
      <c r="Q151" s="3">
        <v>48.524000000000001</v>
      </c>
      <c r="R151" s="3"/>
    </row>
    <row r="152" ht="14.25">
      <c r="A152">
        <v>951795</v>
      </c>
      <c r="B152">
        <v>10</v>
      </c>
      <c r="C152">
        <v>65.450000000000003</v>
      </c>
      <c r="D152">
        <v>75</v>
      </c>
      <c r="E152">
        <v>37</v>
      </c>
      <c r="F152" s="3">
        <f t="shared" si="27"/>
        <v>15.9</v>
      </c>
      <c r="G152" s="3">
        <f t="shared" si="28"/>
        <v>47.200000000000003</v>
      </c>
      <c r="H152" s="3">
        <v>37.5</v>
      </c>
      <c r="I152" s="3">
        <f t="shared" si="29"/>
        <v>20.800000000000001</v>
      </c>
      <c r="J152" s="3">
        <f t="shared" si="30"/>
        <v>0.5</v>
      </c>
      <c r="K152" s="3">
        <f t="shared" si="31"/>
        <v>9</v>
      </c>
      <c r="L152" s="3">
        <f t="shared" si="32"/>
        <v>8</v>
      </c>
      <c r="M152" s="3">
        <f t="shared" si="33"/>
        <v>7</v>
      </c>
      <c r="N152" s="3">
        <f t="shared" si="34"/>
        <v>6</v>
      </c>
      <c r="O152" s="3">
        <f t="shared" si="35"/>
        <v>5</v>
      </c>
      <c r="P152" s="3"/>
      <c r="Q152" s="3">
        <v>48.468000000000004</v>
      </c>
      <c r="R152" s="3"/>
    </row>
    <row r="153" ht="14.25">
      <c r="A153">
        <v>958098</v>
      </c>
      <c r="B153">
        <v>10.67</v>
      </c>
      <c r="C153">
        <v>65.530000000000001</v>
      </c>
      <c r="D153">
        <v>76</v>
      </c>
      <c r="E153">
        <v>36.799999999999997</v>
      </c>
      <c r="F153" s="3">
        <f t="shared" si="27"/>
        <v>16</v>
      </c>
      <c r="G153" s="3">
        <f t="shared" si="28"/>
        <v>47.799999999999997</v>
      </c>
      <c r="H153" s="3">
        <v>37.5</v>
      </c>
      <c r="I153" s="3">
        <f t="shared" si="29"/>
        <v>21</v>
      </c>
      <c r="J153" s="3">
        <f t="shared" si="30"/>
        <v>0.70000000000000284</v>
      </c>
      <c r="K153" s="3">
        <f t="shared" si="31"/>
        <v>12.600000000000051</v>
      </c>
      <c r="L153" s="3">
        <f t="shared" si="32"/>
        <v>11.200000000000045</v>
      </c>
      <c r="M153" s="3">
        <f t="shared" si="33"/>
        <v>9.8000000000000398</v>
      </c>
      <c r="N153" s="3">
        <f t="shared" si="34"/>
        <v>8.4000000000000341</v>
      </c>
      <c r="O153" s="3">
        <f t="shared" si="35"/>
        <v>7.0000000000000284</v>
      </c>
      <c r="P153" s="3"/>
      <c r="Q153" s="3">
        <v>48.468000000000004</v>
      </c>
      <c r="R153" s="3"/>
    </row>
    <row r="154" ht="14.25">
      <c r="A154">
        <v>964402</v>
      </c>
      <c r="B154">
        <v>13.33</v>
      </c>
      <c r="C154">
        <v>65.620000000000005</v>
      </c>
      <c r="D154">
        <v>78</v>
      </c>
      <c r="E154">
        <v>36.799999999999997</v>
      </c>
      <c r="F154" s="3">
        <f t="shared" si="27"/>
        <v>16.100000000000001</v>
      </c>
      <c r="G154" s="3">
        <f t="shared" si="28"/>
        <v>49.100000000000001</v>
      </c>
      <c r="H154" s="3">
        <v>37.5</v>
      </c>
      <c r="I154" s="3">
        <f t="shared" si="29"/>
        <v>21.600000000000001</v>
      </c>
      <c r="J154" s="3">
        <f t="shared" si="30"/>
        <v>0.70000000000000284</v>
      </c>
      <c r="K154" s="3">
        <f t="shared" si="31"/>
        <v>12.600000000000051</v>
      </c>
      <c r="L154" s="3">
        <f t="shared" si="32"/>
        <v>11.200000000000045</v>
      </c>
      <c r="M154" s="3">
        <f t="shared" si="33"/>
        <v>9.8000000000000398</v>
      </c>
      <c r="N154" s="3">
        <f t="shared" si="34"/>
        <v>8.4000000000000341</v>
      </c>
      <c r="O154" s="3">
        <f t="shared" si="35"/>
        <v>7.0000000000000284</v>
      </c>
      <c r="P154" s="3"/>
      <c r="Q154" s="3">
        <v>48.468000000000004</v>
      </c>
      <c r="R154" s="3"/>
    </row>
    <row r="155" ht="14.25">
      <c r="A155">
        <v>970704</v>
      </c>
      <c r="B155">
        <v>11.33</v>
      </c>
      <c r="C155">
        <v>65.700000000000003</v>
      </c>
      <c r="D155">
        <v>77</v>
      </c>
      <c r="E155">
        <v>37</v>
      </c>
      <c r="F155" s="3">
        <f t="shared" si="27"/>
        <v>16.199999999999999</v>
      </c>
      <c r="G155" s="3">
        <f t="shared" si="28"/>
        <v>48.399999999999999</v>
      </c>
      <c r="H155" s="3">
        <v>37.5</v>
      </c>
      <c r="I155" s="3">
        <f t="shared" si="29"/>
        <v>21.300000000000001</v>
      </c>
      <c r="J155" s="3">
        <f t="shared" si="30"/>
        <v>0.5</v>
      </c>
      <c r="K155" s="3">
        <f t="shared" si="31"/>
        <v>9</v>
      </c>
      <c r="L155" s="3">
        <f t="shared" si="32"/>
        <v>8</v>
      </c>
      <c r="M155" s="3">
        <f t="shared" si="33"/>
        <v>7</v>
      </c>
      <c r="N155" s="3">
        <f t="shared" si="34"/>
        <v>6</v>
      </c>
      <c r="O155" s="3">
        <f t="shared" si="35"/>
        <v>5</v>
      </c>
      <c r="P155" s="3"/>
      <c r="Q155" s="3">
        <v>48.481999999999999</v>
      </c>
      <c r="R155" s="3"/>
    </row>
    <row r="156" ht="14.25">
      <c r="A156">
        <v>977007</v>
      </c>
      <c r="B156">
        <v>13.33</v>
      </c>
      <c r="C156">
        <v>65.799999999999997</v>
      </c>
      <c r="D156">
        <v>79</v>
      </c>
      <c r="E156">
        <v>36.799999999999997</v>
      </c>
      <c r="F156" s="3">
        <f t="shared" si="27"/>
        <v>16.300000000000001</v>
      </c>
      <c r="G156" s="3">
        <f t="shared" si="28"/>
        <v>49.700000000000003</v>
      </c>
      <c r="H156" s="3">
        <v>37.5</v>
      </c>
      <c r="I156" s="3">
        <f t="shared" si="29"/>
        <v>21.899999999999999</v>
      </c>
      <c r="J156" s="3">
        <f t="shared" si="30"/>
        <v>0.70000000000000284</v>
      </c>
      <c r="K156" s="3">
        <f t="shared" si="31"/>
        <v>12.600000000000051</v>
      </c>
      <c r="L156" s="3">
        <f t="shared" si="32"/>
        <v>11.200000000000045</v>
      </c>
      <c r="M156" s="3">
        <f t="shared" si="33"/>
        <v>9.8000000000000398</v>
      </c>
      <c r="N156" s="3">
        <f t="shared" si="34"/>
        <v>8.4000000000000341</v>
      </c>
      <c r="O156" s="3">
        <f t="shared" si="35"/>
        <v>7.0000000000000284</v>
      </c>
      <c r="P156" s="3"/>
      <c r="Q156" s="3">
        <v>48.496000000000002</v>
      </c>
      <c r="R156" s="3"/>
    </row>
    <row r="157" ht="14.25">
      <c r="A157">
        <v>983310</v>
      </c>
      <c r="B157">
        <v>13.33</v>
      </c>
      <c r="C157">
        <v>65.890000000000001</v>
      </c>
      <c r="D157">
        <v>79</v>
      </c>
      <c r="E157">
        <v>36.799999999999997</v>
      </c>
      <c r="F157" s="3">
        <f t="shared" si="27"/>
        <v>16.399999999999999</v>
      </c>
      <c r="G157" s="3">
        <f t="shared" si="28"/>
        <v>49.700000000000003</v>
      </c>
      <c r="H157" s="3">
        <v>37.5</v>
      </c>
      <c r="I157" s="3">
        <f t="shared" si="29"/>
        <v>21.899999999999999</v>
      </c>
      <c r="J157" s="3">
        <f t="shared" si="30"/>
        <v>0.70000000000000284</v>
      </c>
      <c r="K157" s="3">
        <f t="shared" si="31"/>
        <v>12.600000000000051</v>
      </c>
      <c r="L157" s="3">
        <f t="shared" si="32"/>
        <v>11.200000000000045</v>
      </c>
      <c r="M157" s="3">
        <f t="shared" si="33"/>
        <v>9.8000000000000398</v>
      </c>
      <c r="N157" s="3">
        <f t="shared" si="34"/>
        <v>8.4000000000000341</v>
      </c>
      <c r="O157" s="3">
        <f t="shared" si="35"/>
        <v>7.0000000000000284</v>
      </c>
      <c r="P157" s="3"/>
      <c r="Q157" s="3">
        <v>48.509999999999998</v>
      </c>
      <c r="R157" s="3"/>
    </row>
    <row r="158" ht="14.25">
      <c r="A158">
        <v>989614</v>
      </c>
      <c r="B158">
        <v>14</v>
      </c>
      <c r="C158">
        <v>65.989999999999995</v>
      </c>
      <c r="D158">
        <v>79</v>
      </c>
      <c r="E158">
        <v>36.899999999999999</v>
      </c>
      <c r="F158" s="3">
        <f t="shared" si="27"/>
        <v>16.5</v>
      </c>
      <c r="G158" s="3">
        <f t="shared" si="28"/>
        <v>49.700000000000003</v>
      </c>
      <c r="H158" s="3">
        <v>37.5</v>
      </c>
      <c r="I158" s="3">
        <f t="shared" si="29"/>
        <v>21.899999999999999</v>
      </c>
      <c r="J158" s="3">
        <f t="shared" si="30"/>
        <v>0.60000000000000142</v>
      </c>
      <c r="K158" s="3">
        <f t="shared" si="31"/>
        <v>10.800000000000026</v>
      </c>
      <c r="L158" s="3">
        <f t="shared" si="32"/>
        <v>9.6000000000000227</v>
      </c>
      <c r="M158" s="3">
        <f t="shared" si="33"/>
        <v>8.4000000000000199</v>
      </c>
      <c r="N158" s="3">
        <f t="shared" si="34"/>
        <v>7.2000000000000171</v>
      </c>
      <c r="O158" s="3">
        <f t="shared" si="35"/>
        <v>6.0000000000000142</v>
      </c>
      <c r="P158" s="3"/>
      <c r="Q158" s="3">
        <v>48.552</v>
      </c>
      <c r="R158" s="3"/>
    </row>
    <row r="159" ht="14.25">
      <c r="A159">
        <v>995916</v>
      </c>
      <c r="B159">
        <v>17.329999999999998</v>
      </c>
      <c r="C159">
        <v>66.109999999999999</v>
      </c>
      <c r="D159">
        <v>83</v>
      </c>
      <c r="E159">
        <v>36.299999999999997</v>
      </c>
      <c r="F159" s="3">
        <f t="shared" si="27"/>
        <v>16.600000000000001</v>
      </c>
      <c r="G159" s="3">
        <f t="shared" si="28"/>
        <v>52.200000000000003</v>
      </c>
      <c r="H159" s="3">
        <v>37.5</v>
      </c>
      <c r="I159" s="3">
        <f t="shared" si="29"/>
        <v>23</v>
      </c>
      <c r="J159" s="3">
        <f t="shared" si="30"/>
        <v>1.2000000000000028</v>
      </c>
      <c r="K159" s="3">
        <f t="shared" si="31"/>
        <v>21.600000000000051</v>
      </c>
      <c r="L159" s="3">
        <f t="shared" si="32"/>
        <v>19.200000000000045</v>
      </c>
      <c r="M159" s="3">
        <f t="shared" si="33"/>
        <v>16.80000000000004</v>
      </c>
      <c r="N159" s="3">
        <f t="shared" si="34"/>
        <v>14.400000000000034</v>
      </c>
      <c r="O159" s="3">
        <f t="shared" si="35"/>
        <v>12.000000000000028</v>
      </c>
      <c r="P159" s="3"/>
      <c r="Q159" s="3">
        <v>48.579999999999998</v>
      </c>
      <c r="R159" s="3"/>
    </row>
    <row r="160" ht="14.25">
      <c r="A160">
        <v>1002219</v>
      </c>
      <c r="B160">
        <v>16.670000000000002</v>
      </c>
      <c r="C160">
        <v>66.219999999999999</v>
      </c>
      <c r="D160">
        <v>82</v>
      </c>
      <c r="E160">
        <v>36.600000000000001</v>
      </c>
      <c r="F160" s="3">
        <f t="shared" si="27"/>
        <v>16.699999999999999</v>
      </c>
      <c r="G160" s="3">
        <f t="shared" si="28"/>
        <v>51.600000000000001</v>
      </c>
      <c r="H160" s="3">
        <v>37.5</v>
      </c>
      <c r="I160" s="3">
        <f t="shared" si="29"/>
        <v>22.699999999999999</v>
      </c>
      <c r="J160" s="3">
        <f t="shared" si="30"/>
        <v>0.89999999999999858</v>
      </c>
      <c r="K160" s="3">
        <f t="shared" si="31"/>
        <v>16.199999999999974</v>
      </c>
      <c r="L160" s="3">
        <f t="shared" si="32"/>
        <v>14.399999999999977</v>
      </c>
      <c r="M160" s="3">
        <f t="shared" si="33"/>
        <v>12.59999999999998</v>
      </c>
      <c r="N160" s="3">
        <f t="shared" si="34"/>
        <v>10.799999999999983</v>
      </c>
      <c r="O160" s="3">
        <f t="shared" si="35"/>
        <v>8.9999999999999858</v>
      </c>
      <c r="P160" s="3"/>
      <c r="Q160" s="3">
        <v>48.607999999999997</v>
      </c>
      <c r="R160" s="3"/>
    </row>
    <row r="161" ht="14.25">
      <c r="A161">
        <v>1008522</v>
      </c>
      <c r="B161">
        <v>16</v>
      </c>
      <c r="C161">
        <v>66.340000000000003</v>
      </c>
      <c r="D161">
        <v>82</v>
      </c>
      <c r="E161">
        <v>36.700000000000003</v>
      </c>
      <c r="F161" s="3">
        <f t="shared" si="27"/>
        <v>16.800000000000001</v>
      </c>
      <c r="G161" s="3">
        <f t="shared" si="28"/>
        <v>51.600000000000001</v>
      </c>
      <c r="H161" s="3">
        <v>37.5</v>
      </c>
      <c r="I161" s="3">
        <f t="shared" si="29"/>
        <v>22.699999999999999</v>
      </c>
      <c r="J161" s="3">
        <f t="shared" si="30"/>
        <v>0.79999999999999716</v>
      </c>
      <c r="K161" s="3">
        <f t="shared" si="31"/>
        <v>14.399999999999949</v>
      </c>
      <c r="L161" s="3">
        <f t="shared" si="32"/>
        <v>12.799999999999955</v>
      </c>
      <c r="M161" s="3">
        <f t="shared" si="33"/>
        <v>11.19999999999996</v>
      </c>
      <c r="N161" s="3">
        <f t="shared" si="34"/>
        <v>9.5999999999999659</v>
      </c>
      <c r="O161" s="3">
        <f t="shared" si="35"/>
        <v>7.9999999999999716</v>
      </c>
      <c r="P161" s="3"/>
      <c r="Q161" s="3">
        <v>48.649999999999999</v>
      </c>
      <c r="R161" s="3"/>
    </row>
    <row r="162" ht="14.25">
      <c r="A162">
        <v>1014825</v>
      </c>
      <c r="B162">
        <v>18.670000000000002</v>
      </c>
      <c r="C162">
        <v>66.469999999999999</v>
      </c>
      <c r="D162">
        <v>85</v>
      </c>
      <c r="E162">
        <v>36.399999999999999</v>
      </c>
      <c r="F162" s="3">
        <f t="shared" si="27"/>
        <v>16.899999999999999</v>
      </c>
      <c r="G162" s="3">
        <f t="shared" si="28"/>
        <v>53.5</v>
      </c>
      <c r="H162" s="3">
        <v>37.5</v>
      </c>
      <c r="I162" s="3">
        <f t="shared" si="29"/>
        <v>23.5</v>
      </c>
      <c r="J162" s="3">
        <f t="shared" si="30"/>
        <v>1.1000000000000014</v>
      </c>
      <c r="K162" s="3">
        <f t="shared" si="31"/>
        <v>19.800000000000026</v>
      </c>
      <c r="L162" s="3">
        <f t="shared" si="32"/>
        <v>17.600000000000023</v>
      </c>
      <c r="M162" s="3">
        <f t="shared" si="33"/>
        <v>15.40000000000002</v>
      </c>
      <c r="N162" s="3">
        <f t="shared" si="34"/>
        <v>13.200000000000017</v>
      </c>
      <c r="O162" s="3">
        <f t="shared" si="35"/>
        <v>11.000000000000014</v>
      </c>
      <c r="P162" s="3"/>
      <c r="Q162" s="3">
        <v>48.692</v>
      </c>
      <c r="R162" s="3"/>
    </row>
    <row r="163" ht="14.25">
      <c r="A163">
        <v>1021129</v>
      </c>
      <c r="B163">
        <v>16</v>
      </c>
      <c r="C163">
        <v>66.579999999999998</v>
      </c>
      <c r="D163">
        <v>82</v>
      </c>
      <c r="E163">
        <v>36.700000000000003</v>
      </c>
      <c r="F163" s="3">
        <f t="shared" si="27"/>
        <v>17</v>
      </c>
      <c r="G163" s="3">
        <f t="shared" si="28"/>
        <v>51.600000000000001</v>
      </c>
      <c r="H163" s="3">
        <v>37.5</v>
      </c>
      <c r="I163" s="3">
        <f t="shared" si="29"/>
        <v>22.699999999999999</v>
      </c>
      <c r="J163" s="3">
        <f t="shared" si="30"/>
        <v>0.79999999999999716</v>
      </c>
      <c r="K163" s="3">
        <f t="shared" si="31"/>
        <v>14.399999999999949</v>
      </c>
      <c r="L163" s="3">
        <f t="shared" si="32"/>
        <v>12.799999999999955</v>
      </c>
      <c r="M163" s="3">
        <f t="shared" si="33"/>
        <v>11.19999999999996</v>
      </c>
      <c r="N163" s="3">
        <f t="shared" si="34"/>
        <v>9.5999999999999659</v>
      </c>
      <c r="O163" s="3">
        <f t="shared" si="35"/>
        <v>7.9999999999999716</v>
      </c>
      <c r="P163" s="3"/>
      <c r="Q163" s="3">
        <v>48.747999999999998</v>
      </c>
      <c r="R163" s="3"/>
    </row>
    <row r="164" ht="14.25">
      <c r="A164">
        <v>1027433</v>
      </c>
      <c r="B164">
        <v>16</v>
      </c>
      <c r="C164">
        <v>66.689999999999998</v>
      </c>
      <c r="D164">
        <v>82</v>
      </c>
      <c r="E164">
        <v>36.700000000000003</v>
      </c>
      <c r="F164" s="3">
        <f t="shared" ref="F164:F227" si="36">ROUND(A164/60000,1)</f>
        <v>17.100000000000001</v>
      </c>
      <c r="G164" s="3">
        <f t="shared" ref="G164:G227" si="37">ROUND((D164/159)*100,1)</f>
        <v>51.600000000000001</v>
      </c>
      <c r="H164" s="3">
        <v>37.5</v>
      </c>
      <c r="I164" s="3">
        <f t="shared" ref="I164:I227" si="38">ROUND((D164/159)*44,1)</f>
        <v>22.699999999999999</v>
      </c>
      <c r="J164" s="3">
        <f t="shared" ref="J164:J227" si="39">37.5-E164</f>
        <v>0.79999999999999716</v>
      </c>
      <c r="K164" s="3">
        <f t="shared" ref="K164:K227" si="40">J164*18</f>
        <v>14.399999999999949</v>
      </c>
      <c r="L164" s="3">
        <f t="shared" ref="L164:L227" si="41">J164*16</f>
        <v>12.799999999999955</v>
      </c>
      <c r="M164" s="3">
        <f t="shared" ref="M164:M227" si="42">J164*14</f>
        <v>11.19999999999996</v>
      </c>
      <c r="N164" s="3">
        <f t="shared" ref="N164:N227" si="43">J164*12</f>
        <v>9.5999999999999659</v>
      </c>
      <c r="O164" s="3">
        <f t="shared" ref="O164:O227" si="44">J164*10</f>
        <v>7.9999999999999716</v>
      </c>
      <c r="P164" s="3"/>
      <c r="Q164" s="3">
        <v>48.817999999999998</v>
      </c>
      <c r="R164" s="3"/>
    </row>
    <row r="165" ht="14.25">
      <c r="A165">
        <v>1033737</v>
      </c>
      <c r="B165">
        <v>16.670000000000002</v>
      </c>
      <c r="C165">
        <v>66.810000000000002</v>
      </c>
      <c r="D165">
        <v>83</v>
      </c>
      <c r="E165">
        <v>36.5</v>
      </c>
      <c r="F165" s="3">
        <f t="shared" si="36"/>
        <v>17.199999999999999</v>
      </c>
      <c r="G165" s="3">
        <f t="shared" si="37"/>
        <v>52.200000000000003</v>
      </c>
      <c r="H165" s="3">
        <v>37.5</v>
      </c>
      <c r="I165" s="3">
        <f t="shared" si="38"/>
        <v>23</v>
      </c>
      <c r="J165" s="3">
        <f t="shared" si="39"/>
        <v>1</v>
      </c>
      <c r="K165" s="3">
        <f t="shared" si="40"/>
        <v>18</v>
      </c>
      <c r="L165" s="3">
        <f t="shared" si="41"/>
        <v>16</v>
      </c>
      <c r="M165" s="3">
        <f t="shared" si="42"/>
        <v>14</v>
      </c>
      <c r="N165" s="3">
        <f t="shared" si="43"/>
        <v>12</v>
      </c>
      <c r="O165" s="3">
        <f t="shared" si="44"/>
        <v>10</v>
      </c>
      <c r="P165" s="3"/>
      <c r="Q165" s="3">
        <v>48.902000000000001</v>
      </c>
      <c r="R165" s="3"/>
    </row>
    <row r="166" ht="14.25">
      <c r="A166">
        <v>1040040</v>
      </c>
      <c r="B166">
        <v>16.670000000000002</v>
      </c>
      <c r="C166">
        <v>66.920000000000002</v>
      </c>
      <c r="D166">
        <v>83</v>
      </c>
      <c r="E166">
        <v>36.600000000000001</v>
      </c>
      <c r="F166" s="3">
        <f t="shared" si="36"/>
        <v>17.300000000000001</v>
      </c>
      <c r="G166" s="3">
        <f t="shared" si="37"/>
        <v>52.200000000000003</v>
      </c>
      <c r="H166" s="3">
        <v>37.5</v>
      </c>
      <c r="I166" s="3">
        <f t="shared" si="38"/>
        <v>23</v>
      </c>
      <c r="J166" s="3">
        <f t="shared" si="39"/>
        <v>0.89999999999999858</v>
      </c>
      <c r="K166" s="3">
        <f t="shared" si="40"/>
        <v>16.199999999999974</v>
      </c>
      <c r="L166" s="3">
        <f t="shared" si="41"/>
        <v>14.399999999999977</v>
      </c>
      <c r="M166" s="3">
        <f t="shared" si="42"/>
        <v>12.59999999999998</v>
      </c>
      <c r="N166" s="3">
        <f t="shared" si="43"/>
        <v>10.799999999999983</v>
      </c>
      <c r="O166" s="3">
        <f t="shared" si="44"/>
        <v>8.9999999999999858</v>
      </c>
      <c r="P166" s="3"/>
      <c r="Q166" s="3">
        <v>48.957999999999998</v>
      </c>
      <c r="R166" s="3"/>
    </row>
    <row r="167" ht="14.25">
      <c r="A167">
        <v>1046343</v>
      </c>
      <c r="B167">
        <v>22.670000000000002</v>
      </c>
      <c r="C167">
        <v>67.079999999999998</v>
      </c>
      <c r="D167">
        <v>89</v>
      </c>
      <c r="E167">
        <v>36.100000000000001</v>
      </c>
      <c r="F167" s="3">
        <f t="shared" si="36"/>
        <v>17.399999999999999</v>
      </c>
      <c r="G167" s="3">
        <f t="shared" si="37"/>
        <v>56</v>
      </c>
      <c r="H167" s="3">
        <v>37.5</v>
      </c>
      <c r="I167" s="3">
        <f t="shared" si="38"/>
        <v>24.600000000000001</v>
      </c>
      <c r="J167" s="3">
        <f t="shared" si="39"/>
        <v>1.3999999999999986</v>
      </c>
      <c r="K167" s="3">
        <f t="shared" si="40"/>
        <v>25.199999999999974</v>
      </c>
      <c r="L167" s="3">
        <f t="shared" si="41"/>
        <v>22.399999999999977</v>
      </c>
      <c r="M167" s="3">
        <f t="shared" si="42"/>
        <v>19.59999999999998</v>
      </c>
      <c r="N167" s="3">
        <f t="shared" si="43"/>
        <v>16.799999999999983</v>
      </c>
      <c r="O167" s="3">
        <f t="shared" si="44"/>
        <v>13.999999999999986</v>
      </c>
      <c r="P167" s="3"/>
      <c r="Q167" s="3">
        <v>49.042000000000002</v>
      </c>
      <c r="R167" s="3"/>
    </row>
    <row r="168" ht="14.25">
      <c r="A168">
        <v>1052646</v>
      </c>
      <c r="B168">
        <v>19.329999999999998</v>
      </c>
      <c r="C168">
        <v>67.219999999999999</v>
      </c>
      <c r="D168">
        <v>86</v>
      </c>
      <c r="E168">
        <v>36.5</v>
      </c>
      <c r="F168" s="3">
        <f t="shared" si="36"/>
        <v>17.5</v>
      </c>
      <c r="G168" s="3">
        <f t="shared" si="37"/>
        <v>54.100000000000001</v>
      </c>
      <c r="H168" s="3">
        <v>37.5</v>
      </c>
      <c r="I168" s="3">
        <f t="shared" si="38"/>
        <v>23.800000000000001</v>
      </c>
      <c r="J168" s="3">
        <f t="shared" si="39"/>
        <v>1</v>
      </c>
      <c r="K168" s="3">
        <f t="shared" si="40"/>
        <v>18</v>
      </c>
      <c r="L168" s="3">
        <f t="shared" si="41"/>
        <v>16</v>
      </c>
      <c r="M168" s="3">
        <f t="shared" si="42"/>
        <v>14</v>
      </c>
      <c r="N168" s="3">
        <f t="shared" si="43"/>
        <v>12</v>
      </c>
      <c r="O168" s="3">
        <f t="shared" si="44"/>
        <v>10</v>
      </c>
      <c r="P168" s="3"/>
      <c r="Q168" s="3">
        <v>49.097999999999999</v>
      </c>
      <c r="R168" s="3"/>
    </row>
    <row r="169" ht="14.25">
      <c r="A169">
        <v>1058950</v>
      </c>
      <c r="B169">
        <v>18</v>
      </c>
      <c r="C169">
        <v>67.340000000000003</v>
      </c>
      <c r="D169">
        <v>85</v>
      </c>
      <c r="E169">
        <v>36.600000000000001</v>
      </c>
      <c r="F169" s="3">
        <f t="shared" si="36"/>
        <v>17.600000000000001</v>
      </c>
      <c r="G169" s="3">
        <f t="shared" si="37"/>
        <v>53.5</v>
      </c>
      <c r="H169" s="3">
        <v>37.5</v>
      </c>
      <c r="I169" s="3">
        <f t="shared" si="38"/>
        <v>23.5</v>
      </c>
      <c r="J169" s="3">
        <f t="shared" si="39"/>
        <v>0.89999999999999858</v>
      </c>
      <c r="K169" s="3">
        <f t="shared" si="40"/>
        <v>16.199999999999974</v>
      </c>
      <c r="L169" s="3">
        <f t="shared" si="41"/>
        <v>14.399999999999977</v>
      </c>
      <c r="M169" s="3">
        <f t="shared" si="42"/>
        <v>12.59999999999998</v>
      </c>
      <c r="N169" s="3">
        <f t="shared" si="43"/>
        <v>10.799999999999983</v>
      </c>
      <c r="O169" s="3">
        <f t="shared" si="44"/>
        <v>8.9999999999999858</v>
      </c>
      <c r="P169" s="3"/>
      <c r="Q169" s="3">
        <v>49.167999999999999</v>
      </c>
      <c r="R169" s="3"/>
    </row>
    <row r="170" ht="14.25">
      <c r="A170">
        <v>1065252</v>
      </c>
      <c r="B170">
        <v>17.329999999999998</v>
      </c>
      <c r="C170">
        <v>67.469999999999999</v>
      </c>
      <c r="D170">
        <v>84</v>
      </c>
      <c r="E170">
        <v>36.700000000000003</v>
      </c>
      <c r="F170" s="3">
        <f t="shared" si="36"/>
        <v>17.800000000000001</v>
      </c>
      <c r="G170" s="3">
        <f t="shared" si="37"/>
        <v>52.799999999999997</v>
      </c>
      <c r="H170" s="3">
        <v>37.5</v>
      </c>
      <c r="I170" s="3">
        <f t="shared" si="38"/>
        <v>23.199999999999999</v>
      </c>
      <c r="J170" s="3">
        <f t="shared" si="39"/>
        <v>0.79999999999999716</v>
      </c>
      <c r="K170" s="3">
        <f t="shared" si="40"/>
        <v>14.399999999999949</v>
      </c>
      <c r="L170" s="3">
        <f t="shared" si="41"/>
        <v>12.799999999999955</v>
      </c>
      <c r="M170" s="3">
        <f t="shared" si="42"/>
        <v>11.19999999999996</v>
      </c>
      <c r="N170" s="3">
        <f t="shared" si="43"/>
        <v>9.5999999999999659</v>
      </c>
      <c r="O170" s="3">
        <f t="shared" si="44"/>
        <v>7.9999999999999716</v>
      </c>
      <c r="P170" s="3"/>
      <c r="Q170" s="3">
        <v>49.265999999999998</v>
      </c>
      <c r="R170" s="3"/>
    </row>
    <row r="171" ht="14.25">
      <c r="A171">
        <v>1071555</v>
      </c>
      <c r="B171">
        <v>17.329999999999998</v>
      </c>
      <c r="C171">
        <v>67.590000000000003</v>
      </c>
      <c r="D171">
        <v>84</v>
      </c>
      <c r="E171">
        <v>36.600000000000001</v>
      </c>
      <c r="F171" s="3">
        <f t="shared" si="36"/>
        <v>17.899999999999999</v>
      </c>
      <c r="G171" s="3">
        <f t="shared" si="37"/>
        <v>52.799999999999997</v>
      </c>
      <c r="H171" s="3">
        <v>37.5</v>
      </c>
      <c r="I171" s="3">
        <f t="shared" si="38"/>
        <v>23.199999999999999</v>
      </c>
      <c r="J171" s="3">
        <f t="shared" si="39"/>
        <v>0.89999999999999858</v>
      </c>
      <c r="K171" s="3">
        <f t="shared" si="40"/>
        <v>16.199999999999974</v>
      </c>
      <c r="L171" s="3">
        <f t="shared" si="41"/>
        <v>14.399999999999977</v>
      </c>
      <c r="M171" s="3">
        <f t="shared" si="42"/>
        <v>12.59999999999998</v>
      </c>
      <c r="N171" s="3">
        <f t="shared" si="43"/>
        <v>10.799999999999983</v>
      </c>
      <c r="O171" s="3">
        <f t="shared" si="44"/>
        <v>8.9999999999999858</v>
      </c>
      <c r="P171" s="3"/>
      <c r="Q171" s="3">
        <v>49.350000000000001</v>
      </c>
      <c r="R171" s="3"/>
    </row>
    <row r="172" ht="14.25">
      <c r="A172">
        <v>1077858</v>
      </c>
      <c r="B172">
        <v>19.329999999999998</v>
      </c>
      <c r="C172">
        <v>67.719999999999999</v>
      </c>
      <c r="D172">
        <v>87</v>
      </c>
      <c r="E172">
        <v>36.5</v>
      </c>
      <c r="F172" s="3">
        <f t="shared" si="36"/>
        <v>18</v>
      </c>
      <c r="G172" s="3">
        <f t="shared" si="37"/>
        <v>54.700000000000003</v>
      </c>
      <c r="H172" s="3">
        <v>37.5</v>
      </c>
      <c r="I172" s="3">
        <f t="shared" si="38"/>
        <v>24.100000000000001</v>
      </c>
      <c r="J172" s="3">
        <f t="shared" si="39"/>
        <v>1</v>
      </c>
      <c r="K172" s="3">
        <f t="shared" si="40"/>
        <v>18</v>
      </c>
      <c r="L172" s="3">
        <f t="shared" si="41"/>
        <v>16</v>
      </c>
      <c r="M172" s="3">
        <f t="shared" si="42"/>
        <v>14</v>
      </c>
      <c r="N172" s="3">
        <f t="shared" si="43"/>
        <v>12</v>
      </c>
      <c r="O172" s="3">
        <f t="shared" si="44"/>
        <v>10</v>
      </c>
      <c r="P172" s="3"/>
      <c r="Q172" s="3">
        <v>49.405999999999999</v>
      </c>
      <c r="R172" s="3"/>
    </row>
    <row r="173" ht="14.25">
      <c r="A173">
        <v>1084162</v>
      </c>
      <c r="B173">
        <v>17.329999999999998</v>
      </c>
      <c r="C173">
        <v>67.840000000000003</v>
      </c>
      <c r="D173">
        <v>85</v>
      </c>
      <c r="E173">
        <v>36.700000000000003</v>
      </c>
      <c r="F173" s="3">
        <f t="shared" si="36"/>
        <v>18.100000000000001</v>
      </c>
      <c r="G173" s="3">
        <f t="shared" si="37"/>
        <v>53.5</v>
      </c>
      <c r="H173" s="3">
        <v>37.5</v>
      </c>
      <c r="I173" s="3">
        <f t="shared" si="38"/>
        <v>23.5</v>
      </c>
      <c r="J173" s="3">
        <f t="shared" si="39"/>
        <v>0.79999999999999716</v>
      </c>
      <c r="K173" s="3">
        <f t="shared" si="40"/>
        <v>14.399999999999949</v>
      </c>
      <c r="L173" s="3">
        <f t="shared" si="41"/>
        <v>12.799999999999955</v>
      </c>
      <c r="M173" s="3">
        <f t="shared" si="42"/>
        <v>11.19999999999996</v>
      </c>
      <c r="N173" s="3">
        <f t="shared" si="43"/>
        <v>9.5999999999999659</v>
      </c>
      <c r="O173" s="3">
        <f t="shared" si="44"/>
        <v>7.9999999999999716</v>
      </c>
      <c r="P173" s="3"/>
      <c r="Q173" s="3">
        <v>49.503999999999998</v>
      </c>
      <c r="R173" s="3"/>
    </row>
    <row r="174" ht="14.25">
      <c r="A174">
        <v>1090464</v>
      </c>
      <c r="B174">
        <v>16.670000000000002</v>
      </c>
      <c r="C174">
        <v>67.959999999999994</v>
      </c>
      <c r="D174">
        <v>84</v>
      </c>
      <c r="E174">
        <v>36.700000000000003</v>
      </c>
      <c r="F174" s="3">
        <f t="shared" si="36"/>
        <v>18.199999999999999</v>
      </c>
      <c r="G174" s="3">
        <f t="shared" si="37"/>
        <v>52.799999999999997</v>
      </c>
      <c r="H174" s="3">
        <v>37.5</v>
      </c>
      <c r="I174" s="3">
        <f t="shared" si="38"/>
        <v>23.199999999999999</v>
      </c>
      <c r="J174" s="3">
        <f t="shared" si="39"/>
        <v>0.79999999999999716</v>
      </c>
      <c r="K174" s="3">
        <f t="shared" si="40"/>
        <v>14.399999999999949</v>
      </c>
      <c r="L174" s="3">
        <f t="shared" si="41"/>
        <v>12.799999999999955</v>
      </c>
      <c r="M174" s="3">
        <f t="shared" si="42"/>
        <v>11.19999999999996</v>
      </c>
      <c r="N174" s="3">
        <f t="shared" si="43"/>
        <v>9.5999999999999659</v>
      </c>
      <c r="O174" s="3">
        <f t="shared" si="44"/>
        <v>7.9999999999999716</v>
      </c>
      <c r="P174" s="3"/>
      <c r="Q174" s="3">
        <v>49.671999999999997</v>
      </c>
      <c r="R174" s="3"/>
    </row>
    <row r="175" ht="14.25">
      <c r="A175">
        <v>1096767</v>
      </c>
      <c r="B175">
        <v>19.329999999999998</v>
      </c>
      <c r="C175">
        <v>68.099999999999994</v>
      </c>
      <c r="D175">
        <v>87</v>
      </c>
      <c r="E175">
        <v>36.600000000000001</v>
      </c>
      <c r="F175" s="3">
        <f t="shared" si="36"/>
        <v>18.300000000000001</v>
      </c>
      <c r="G175" s="3">
        <f t="shared" si="37"/>
        <v>54.700000000000003</v>
      </c>
      <c r="H175" s="3">
        <v>37.5</v>
      </c>
      <c r="I175" s="3">
        <f t="shared" si="38"/>
        <v>24.100000000000001</v>
      </c>
      <c r="J175" s="3">
        <f t="shared" si="39"/>
        <v>0.89999999999999858</v>
      </c>
      <c r="K175" s="3">
        <f t="shared" si="40"/>
        <v>16.199999999999974</v>
      </c>
      <c r="L175" s="3">
        <f t="shared" si="41"/>
        <v>14.399999999999977</v>
      </c>
      <c r="M175" s="3">
        <f t="shared" si="42"/>
        <v>12.59999999999998</v>
      </c>
      <c r="N175" s="3">
        <f t="shared" si="43"/>
        <v>10.799999999999983</v>
      </c>
      <c r="O175" s="3">
        <f t="shared" si="44"/>
        <v>8.9999999999999858</v>
      </c>
      <c r="P175" s="3"/>
      <c r="Q175" s="3">
        <v>49.756</v>
      </c>
      <c r="R175" s="3"/>
    </row>
    <row r="176" ht="14.25">
      <c r="A176">
        <v>1103071</v>
      </c>
      <c r="B176">
        <v>18</v>
      </c>
      <c r="C176">
        <v>68.219999999999999</v>
      </c>
      <c r="D176">
        <v>86</v>
      </c>
      <c r="E176">
        <v>36.600000000000001</v>
      </c>
      <c r="F176" s="3">
        <f t="shared" si="36"/>
        <v>18.399999999999999</v>
      </c>
      <c r="G176" s="3">
        <f t="shared" si="37"/>
        <v>54.100000000000001</v>
      </c>
      <c r="H176" s="3">
        <v>37.5</v>
      </c>
      <c r="I176" s="3">
        <f t="shared" si="38"/>
        <v>23.800000000000001</v>
      </c>
      <c r="J176" s="3">
        <f t="shared" si="39"/>
        <v>0.89999999999999858</v>
      </c>
      <c r="K176" s="3">
        <f t="shared" si="40"/>
        <v>16.199999999999974</v>
      </c>
      <c r="L176" s="3">
        <f t="shared" si="41"/>
        <v>14.399999999999977</v>
      </c>
      <c r="M176" s="3">
        <f t="shared" si="42"/>
        <v>12.59999999999998</v>
      </c>
      <c r="N176" s="3">
        <f t="shared" si="43"/>
        <v>10.799999999999983</v>
      </c>
      <c r="O176" s="3">
        <f t="shared" si="44"/>
        <v>8.9999999999999858</v>
      </c>
      <c r="P176" s="3"/>
      <c r="Q176" s="3">
        <v>49.840000000000003</v>
      </c>
      <c r="R176" s="3"/>
    </row>
    <row r="177" ht="14.25">
      <c r="A177">
        <v>1109374</v>
      </c>
      <c r="B177">
        <v>19.329999999999998</v>
      </c>
      <c r="C177">
        <v>68.359999999999999</v>
      </c>
      <c r="D177">
        <v>87</v>
      </c>
      <c r="E177">
        <v>36.5</v>
      </c>
      <c r="F177" s="3">
        <f t="shared" si="36"/>
        <v>18.5</v>
      </c>
      <c r="G177" s="3">
        <f t="shared" si="37"/>
        <v>54.700000000000003</v>
      </c>
      <c r="H177" s="3">
        <v>37.5</v>
      </c>
      <c r="I177" s="3">
        <f t="shared" si="38"/>
        <v>24.100000000000001</v>
      </c>
      <c r="J177" s="3">
        <f t="shared" si="39"/>
        <v>1</v>
      </c>
      <c r="K177" s="3">
        <f t="shared" si="40"/>
        <v>18</v>
      </c>
      <c r="L177" s="3">
        <f t="shared" si="41"/>
        <v>16</v>
      </c>
      <c r="M177" s="3">
        <f t="shared" si="42"/>
        <v>14</v>
      </c>
      <c r="N177" s="3">
        <f t="shared" si="43"/>
        <v>12</v>
      </c>
      <c r="O177" s="3">
        <f t="shared" si="44"/>
        <v>10</v>
      </c>
      <c r="P177" s="3"/>
      <c r="Q177" s="3">
        <v>49.951999999999998</v>
      </c>
      <c r="R177" s="3"/>
    </row>
    <row r="178" ht="14.25">
      <c r="A178">
        <v>1115678</v>
      </c>
      <c r="B178">
        <v>20</v>
      </c>
      <c r="C178">
        <v>68.5</v>
      </c>
      <c r="D178">
        <v>88</v>
      </c>
      <c r="E178">
        <v>36.600000000000001</v>
      </c>
      <c r="F178" s="3">
        <f t="shared" si="36"/>
        <v>18.600000000000001</v>
      </c>
      <c r="G178" s="3">
        <f t="shared" si="37"/>
        <v>55.299999999999997</v>
      </c>
      <c r="H178" s="3">
        <v>37.5</v>
      </c>
      <c r="I178" s="3">
        <f t="shared" si="38"/>
        <v>24.399999999999999</v>
      </c>
      <c r="J178" s="3">
        <f t="shared" si="39"/>
        <v>0.89999999999999858</v>
      </c>
      <c r="K178" s="3">
        <f t="shared" si="40"/>
        <v>16.199999999999974</v>
      </c>
      <c r="L178" s="3">
        <f t="shared" si="41"/>
        <v>14.399999999999977</v>
      </c>
      <c r="M178" s="3">
        <f t="shared" si="42"/>
        <v>12.59999999999998</v>
      </c>
      <c r="N178" s="3">
        <f t="shared" si="43"/>
        <v>10.799999999999983</v>
      </c>
      <c r="O178" s="3">
        <f t="shared" si="44"/>
        <v>8.9999999999999858</v>
      </c>
      <c r="P178" s="3"/>
      <c r="Q178" s="3">
        <v>50.064</v>
      </c>
      <c r="R178" s="3"/>
    </row>
    <row r="179" ht="14.25">
      <c r="A179">
        <v>1121982</v>
      </c>
      <c r="B179">
        <v>19.329999999999998</v>
      </c>
      <c r="C179">
        <v>68.629999999999995</v>
      </c>
      <c r="D179">
        <v>87</v>
      </c>
      <c r="E179">
        <v>36.5</v>
      </c>
      <c r="F179" s="3">
        <f t="shared" si="36"/>
        <v>18.699999999999999</v>
      </c>
      <c r="G179" s="3">
        <f t="shared" si="37"/>
        <v>54.700000000000003</v>
      </c>
      <c r="H179" s="3">
        <v>37.5</v>
      </c>
      <c r="I179" s="3">
        <f t="shared" si="38"/>
        <v>24.100000000000001</v>
      </c>
      <c r="J179" s="3">
        <f t="shared" si="39"/>
        <v>1</v>
      </c>
      <c r="K179" s="3">
        <f t="shared" si="40"/>
        <v>18</v>
      </c>
      <c r="L179" s="3">
        <f t="shared" si="41"/>
        <v>16</v>
      </c>
      <c r="M179" s="3">
        <f t="shared" si="42"/>
        <v>14</v>
      </c>
      <c r="N179" s="3">
        <f t="shared" si="43"/>
        <v>12</v>
      </c>
      <c r="O179" s="3">
        <f t="shared" si="44"/>
        <v>10</v>
      </c>
      <c r="P179" s="3"/>
      <c r="Q179" s="3">
        <v>50.161999999999999</v>
      </c>
      <c r="R179" s="3"/>
    </row>
    <row r="180" ht="14.25">
      <c r="A180">
        <v>1128286</v>
      </c>
      <c r="B180">
        <v>20.670000000000002</v>
      </c>
      <c r="C180">
        <v>68.780000000000001</v>
      </c>
      <c r="D180">
        <v>89</v>
      </c>
      <c r="E180">
        <v>36.399999999999999</v>
      </c>
      <c r="F180" s="3">
        <f t="shared" si="36"/>
        <v>18.800000000000001</v>
      </c>
      <c r="G180" s="3">
        <f t="shared" si="37"/>
        <v>56</v>
      </c>
      <c r="H180" s="3">
        <v>37.5</v>
      </c>
      <c r="I180" s="3">
        <f t="shared" si="38"/>
        <v>24.600000000000001</v>
      </c>
      <c r="J180" s="3">
        <f t="shared" si="39"/>
        <v>1.1000000000000014</v>
      </c>
      <c r="K180" s="3">
        <f t="shared" si="40"/>
        <v>19.800000000000026</v>
      </c>
      <c r="L180" s="3">
        <f t="shared" si="41"/>
        <v>17.600000000000023</v>
      </c>
      <c r="M180" s="3">
        <f t="shared" si="42"/>
        <v>15.40000000000002</v>
      </c>
      <c r="N180" s="3">
        <f t="shared" si="43"/>
        <v>13.200000000000017</v>
      </c>
      <c r="O180" s="3">
        <f t="shared" si="44"/>
        <v>11.000000000000014</v>
      </c>
      <c r="P180" s="3"/>
      <c r="Q180" s="3">
        <v>50.259999999999998</v>
      </c>
      <c r="R180" s="3"/>
    </row>
    <row r="181" ht="14.25">
      <c r="A181">
        <v>1134588</v>
      </c>
      <c r="B181">
        <v>18</v>
      </c>
      <c r="C181">
        <v>68.900000000000006</v>
      </c>
      <c r="D181">
        <v>86</v>
      </c>
      <c r="E181">
        <v>36.5</v>
      </c>
      <c r="F181" s="3">
        <f t="shared" si="36"/>
        <v>18.899999999999999</v>
      </c>
      <c r="G181" s="3">
        <f t="shared" si="37"/>
        <v>54.100000000000001</v>
      </c>
      <c r="H181" s="3">
        <v>37.5</v>
      </c>
      <c r="I181" s="3">
        <f t="shared" si="38"/>
        <v>23.800000000000001</v>
      </c>
      <c r="J181" s="3">
        <f t="shared" si="39"/>
        <v>1</v>
      </c>
      <c r="K181" s="3">
        <f t="shared" si="40"/>
        <v>18</v>
      </c>
      <c r="L181" s="3">
        <f t="shared" si="41"/>
        <v>16</v>
      </c>
      <c r="M181" s="3">
        <f t="shared" si="42"/>
        <v>14</v>
      </c>
      <c r="N181" s="3">
        <f t="shared" si="43"/>
        <v>12</v>
      </c>
      <c r="O181" s="3">
        <f t="shared" si="44"/>
        <v>10</v>
      </c>
      <c r="P181" s="3"/>
      <c r="Q181" s="3">
        <v>50.372</v>
      </c>
      <c r="R181" s="3"/>
    </row>
    <row r="182" ht="14.25">
      <c r="A182">
        <v>1140891</v>
      </c>
      <c r="B182">
        <v>20.670000000000002</v>
      </c>
      <c r="C182">
        <v>69.049999999999997</v>
      </c>
      <c r="D182">
        <v>89</v>
      </c>
      <c r="E182">
        <v>36.5</v>
      </c>
      <c r="F182" s="3">
        <f t="shared" si="36"/>
        <v>19</v>
      </c>
      <c r="G182" s="3">
        <f t="shared" si="37"/>
        <v>56</v>
      </c>
      <c r="H182" s="3">
        <v>37.5</v>
      </c>
      <c r="I182" s="3">
        <f t="shared" si="38"/>
        <v>24.600000000000001</v>
      </c>
      <c r="J182" s="3">
        <f t="shared" si="39"/>
        <v>1</v>
      </c>
      <c r="K182" s="3">
        <f t="shared" si="40"/>
        <v>18</v>
      </c>
      <c r="L182" s="3">
        <f t="shared" si="41"/>
        <v>16</v>
      </c>
      <c r="M182" s="3">
        <f t="shared" si="42"/>
        <v>14</v>
      </c>
      <c r="N182" s="3">
        <f t="shared" si="43"/>
        <v>12</v>
      </c>
      <c r="O182" s="3">
        <f t="shared" si="44"/>
        <v>10</v>
      </c>
      <c r="P182" s="3"/>
      <c r="Q182" s="3">
        <v>50.497999999999998</v>
      </c>
      <c r="R182" s="3"/>
    </row>
    <row r="183" ht="14.25">
      <c r="A183">
        <v>1147194</v>
      </c>
      <c r="B183">
        <v>19.329999999999998</v>
      </c>
      <c r="C183">
        <v>69.180000000000007</v>
      </c>
      <c r="D183">
        <v>88</v>
      </c>
      <c r="E183">
        <v>36.600000000000001</v>
      </c>
      <c r="F183" s="3">
        <f t="shared" si="36"/>
        <v>19.100000000000001</v>
      </c>
      <c r="G183" s="3">
        <f t="shared" si="37"/>
        <v>55.299999999999997</v>
      </c>
      <c r="H183" s="3">
        <v>37.5</v>
      </c>
      <c r="I183" s="3">
        <f t="shared" si="38"/>
        <v>24.399999999999999</v>
      </c>
      <c r="J183" s="3">
        <f t="shared" si="39"/>
        <v>0.89999999999999858</v>
      </c>
      <c r="K183" s="3">
        <f t="shared" si="40"/>
        <v>16.199999999999974</v>
      </c>
      <c r="L183" s="3">
        <f t="shared" si="41"/>
        <v>14.399999999999977</v>
      </c>
      <c r="M183" s="3">
        <f t="shared" si="42"/>
        <v>12.59999999999998</v>
      </c>
      <c r="N183" s="3">
        <f t="shared" si="43"/>
        <v>10.799999999999983</v>
      </c>
      <c r="O183" s="3">
        <f t="shared" si="44"/>
        <v>8.9999999999999858</v>
      </c>
      <c r="P183" s="3"/>
      <c r="Q183" s="3">
        <v>50.582000000000001</v>
      </c>
      <c r="R183" s="3"/>
    </row>
    <row r="184" ht="14.25">
      <c r="A184">
        <v>1153498</v>
      </c>
      <c r="B184">
        <v>18</v>
      </c>
      <c r="C184">
        <v>69.310000000000002</v>
      </c>
      <c r="D184">
        <v>87</v>
      </c>
      <c r="E184">
        <v>36.700000000000003</v>
      </c>
      <c r="F184" s="3">
        <f t="shared" si="36"/>
        <v>19.199999999999999</v>
      </c>
      <c r="G184" s="3">
        <f t="shared" si="37"/>
        <v>54.700000000000003</v>
      </c>
      <c r="H184" s="3">
        <v>37.5</v>
      </c>
      <c r="I184" s="3">
        <f t="shared" si="38"/>
        <v>24.100000000000001</v>
      </c>
      <c r="J184" s="3">
        <f t="shared" si="39"/>
        <v>0.79999999999999716</v>
      </c>
      <c r="K184" s="3">
        <f t="shared" si="40"/>
        <v>14.399999999999949</v>
      </c>
      <c r="L184" s="3">
        <f t="shared" si="41"/>
        <v>12.799999999999955</v>
      </c>
      <c r="M184" s="3">
        <f t="shared" si="42"/>
        <v>11.19999999999996</v>
      </c>
      <c r="N184" s="3">
        <f t="shared" si="43"/>
        <v>9.5999999999999659</v>
      </c>
      <c r="O184" s="3">
        <f t="shared" si="44"/>
        <v>7.9999999999999716</v>
      </c>
      <c r="P184" s="3"/>
      <c r="Q184" s="3">
        <v>50.68</v>
      </c>
      <c r="R184" s="3"/>
    </row>
    <row r="185" ht="14.25">
      <c r="A185">
        <v>1159800</v>
      </c>
      <c r="B185">
        <v>18.670000000000002</v>
      </c>
      <c r="C185">
        <v>69.439999999999998</v>
      </c>
      <c r="D185">
        <v>88</v>
      </c>
      <c r="E185">
        <v>36.600000000000001</v>
      </c>
      <c r="F185" s="3">
        <f t="shared" si="36"/>
        <v>19.300000000000001</v>
      </c>
      <c r="G185" s="3">
        <f t="shared" si="37"/>
        <v>55.299999999999997</v>
      </c>
      <c r="H185" s="3">
        <v>37.5</v>
      </c>
      <c r="I185" s="3">
        <f t="shared" si="38"/>
        <v>24.399999999999999</v>
      </c>
      <c r="J185" s="3">
        <f t="shared" si="39"/>
        <v>0.89999999999999858</v>
      </c>
      <c r="K185" s="3">
        <f t="shared" si="40"/>
        <v>16.199999999999974</v>
      </c>
      <c r="L185" s="3">
        <f t="shared" si="41"/>
        <v>14.399999999999977</v>
      </c>
      <c r="M185" s="3">
        <f t="shared" si="42"/>
        <v>12.59999999999998</v>
      </c>
      <c r="N185" s="3">
        <f t="shared" si="43"/>
        <v>10.799999999999983</v>
      </c>
      <c r="O185" s="3">
        <f t="shared" si="44"/>
        <v>8.9999999999999858</v>
      </c>
      <c r="P185" s="3"/>
      <c r="Q185" s="3">
        <v>50.792000000000002</v>
      </c>
      <c r="R185" s="3"/>
    </row>
    <row r="186" ht="14.25">
      <c r="A186">
        <v>1166103</v>
      </c>
      <c r="B186">
        <v>18.670000000000002</v>
      </c>
      <c r="C186">
        <v>69.569999999999993</v>
      </c>
      <c r="D186">
        <v>88</v>
      </c>
      <c r="E186">
        <v>36.5</v>
      </c>
      <c r="F186" s="3">
        <f t="shared" si="36"/>
        <v>19.399999999999999</v>
      </c>
      <c r="G186" s="3">
        <f t="shared" si="37"/>
        <v>55.299999999999997</v>
      </c>
      <c r="H186" s="3">
        <v>37.5</v>
      </c>
      <c r="I186" s="3">
        <f t="shared" si="38"/>
        <v>24.399999999999999</v>
      </c>
      <c r="J186" s="3">
        <f t="shared" si="39"/>
        <v>1</v>
      </c>
      <c r="K186" s="3">
        <f t="shared" si="40"/>
        <v>18</v>
      </c>
      <c r="L186" s="3">
        <f t="shared" si="41"/>
        <v>16</v>
      </c>
      <c r="M186" s="3">
        <f t="shared" si="42"/>
        <v>14</v>
      </c>
      <c r="N186" s="3">
        <f t="shared" si="43"/>
        <v>12</v>
      </c>
      <c r="O186" s="3">
        <f t="shared" si="44"/>
        <v>10</v>
      </c>
      <c r="P186" s="3"/>
      <c r="Q186" s="3">
        <v>50.932000000000002</v>
      </c>
      <c r="R186" s="3"/>
    </row>
    <row r="187" ht="14.25">
      <c r="A187">
        <v>1172406</v>
      </c>
      <c r="B187">
        <v>18.670000000000002</v>
      </c>
      <c r="C187">
        <v>69.700000000000003</v>
      </c>
      <c r="D187">
        <v>88</v>
      </c>
      <c r="E187">
        <v>36.600000000000001</v>
      </c>
      <c r="F187" s="3">
        <f t="shared" si="36"/>
        <v>19.5</v>
      </c>
      <c r="G187" s="3">
        <f t="shared" si="37"/>
        <v>55.299999999999997</v>
      </c>
      <c r="H187" s="3">
        <v>37.5</v>
      </c>
      <c r="I187" s="3">
        <f t="shared" si="38"/>
        <v>24.399999999999999</v>
      </c>
      <c r="J187" s="3">
        <f t="shared" si="39"/>
        <v>0.89999999999999858</v>
      </c>
      <c r="K187" s="3">
        <f t="shared" si="40"/>
        <v>16.199999999999974</v>
      </c>
      <c r="L187" s="3">
        <f t="shared" si="41"/>
        <v>14.399999999999977</v>
      </c>
      <c r="M187" s="3">
        <f t="shared" si="42"/>
        <v>12.59999999999998</v>
      </c>
      <c r="N187" s="3">
        <f t="shared" si="43"/>
        <v>10.799999999999983</v>
      </c>
      <c r="O187" s="3">
        <f t="shared" si="44"/>
        <v>8.9999999999999858</v>
      </c>
      <c r="P187" s="3"/>
      <c r="Q187" s="3">
        <v>51.043999999999997</v>
      </c>
      <c r="R187" s="3"/>
    </row>
    <row r="188" ht="14.25">
      <c r="A188">
        <v>1178710</v>
      </c>
      <c r="B188">
        <v>17.329999999999998</v>
      </c>
      <c r="C188">
        <v>69.819999999999993</v>
      </c>
      <c r="D188">
        <v>87</v>
      </c>
      <c r="E188">
        <v>36.600000000000001</v>
      </c>
      <c r="F188" s="3">
        <f t="shared" si="36"/>
        <v>19.600000000000001</v>
      </c>
      <c r="G188" s="3">
        <f t="shared" si="37"/>
        <v>54.700000000000003</v>
      </c>
      <c r="H188" s="3">
        <v>37.5</v>
      </c>
      <c r="I188" s="3">
        <f t="shared" si="38"/>
        <v>24.100000000000001</v>
      </c>
      <c r="J188" s="3">
        <f t="shared" si="39"/>
        <v>0.89999999999999858</v>
      </c>
      <c r="K188" s="3">
        <f t="shared" si="40"/>
        <v>16.199999999999974</v>
      </c>
      <c r="L188" s="3">
        <f t="shared" si="41"/>
        <v>14.399999999999977</v>
      </c>
      <c r="M188" s="3">
        <f t="shared" si="42"/>
        <v>12.59999999999998</v>
      </c>
      <c r="N188" s="3">
        <f t="shared" si="43"/>
        <v>10.799999999999983</v>
      </c>
      <c r="O188" s="3">
        <f t="shared" si="44"/>
        <v>8.9999999999999858</v>
      </c>
      <c r="P188" s="3"/>
      <c r="Q188" s="3">
        <v>51.142000000000003</v>
      </c>
      <c r="R188" s="3"/>
    </row>
    <row r="189" ht="14.25">
      <c r="A189">
        <v>1185012</v>
      </c>
      <c r="B189">
        <v>18</v>
      </c>
      <c r="C189">
        <v>69.950000000000003</v>
      </c>
      <c r="D189">
        <v>87</v>
      </c>
      <c r="E189">
        <v>36.5</v>
      </c>
      <c r="F189" s="3">
        <f t="shared" si="36"/>
        <v>19.800000000000001</v>
      </c>
      <c r="G189" s="3">
        <f t="shared" si="37"/>
        <v>54.700000000000003</v>
      </c>
      <c r="H189" s="3">
        <v>37.5</v>
      </c>
      <c r="I189" s="3">
        <f t="shared" si="38"/>
        <v>24.100000000000001</v>
      </c>
      <c r="J189" s="3">
        <f t="shared" si="39"/>
        <v>1</v>
      </c>
      <c r="K189" s="3">
        <f t="shared" si="40"/>
        <v>18</v>
      </c>
      <c r="L189" s="3">
        <f t="shared" si="41"/>
        <v>16</v>
      </c>
      <c r="M189" s="3">
        <f t="shared" si="42"/>
        <v>14</v>
      </c>
      <c r="N189" s="3">
        <f t="shared" si="43"/>
        <v>12</v>
      </c>
      <c r="O189" s="3">
        <f t="shared" si="44"/>
        <v>10</v>
      </c>
      <c r="P189" s="3"/>
      <c r="Q189" s="3">
        <v>51.281999999999996</v>
      </c>
      <c r="R189" s="3"/>
    </row>
    <row r="190" ht="14.25">
      <c r="A190">
        <v>1191316</v>
      </c>
      <c r="B190">
        <v>18.670000000000002</v>
      </c>
      <c r="C190">
        <v>70.079999999999998</v>
      </c>
      <c r="D190">
        <v>88</v>
      </c>
      <c r="E190">
        <v>36.600000000000001</v>
      </c>
      <c r="F190" s="3">
        <f t="shared" si="36"/>
        <v>19.899999999999999</v>
      </c>
      <c r="G190" s="3">
        <f t="shared" si="37"/>
        <v>55.299999999999997</v>
      </c>
      <c r="H190" s="3">
        <v>37.5</v>
      </c>
      <c r="I190" s="3">
        <f t="shared" si="38"/>
        <v>24.399999999999999</v>
      </c>
      <c r="J190" s="3">
        <f t="shared" si="39"/>
        <v>0.89999999999999858</v>
      </c>
      <c r="K190" s="3">
        <f t="shared" si="40"/>
        <v>16.199999999999974</v>
      </c>
      <c r="L190" s="3">
        <f t="shared" si="41"/>
        <v>14.399999999999977</v>
      </c>
      <c r="M190" s="3">
        <f t="shared" si="42"/>
        <v>12.59999999999998</v>
      </c>
      <c r="N190" s="3">
        <f t="shared" si="43"/>
        <v>10.799999999999983</v>
      </c>
      <c r="O190" s="3">
        <f t="shared" si="44"/>
        <v>8.9999999999999858</v>
      </c>
      <c r="P190" s="3"/>
      <c r="Q190" s="3">
        <v>51.393999999999998</v>
      </c>
      <c r="R190" s="3"/>
    </row>
    <row r="191" ht="14.25">
      <c r="A191">
        <v>1197620</v>
      </c>
      <c r="B191">
        <v>15.33</v>
      </c>
      <c r="C191">
        <v>70.189999999999998</v>
      </c>
      <c r="D191">
        <v>85</v>
      </c>
      <c r="E191">
        <v>36.700000000000003</v>
      </c>
      <c r="F191" s="3">
        <f t="shared" si="36"/>
        <v>20</v>
      </c>
      <c r="G191" s="3">
        <f t="shared" si="37"/>
        <v>53.5</v>
      </c>
      <c r="H191" s="3">
        <v>37.5</v>
      </c>
      <c r="I191" s="3">
        <f t="shared" si="38"/>
        <v>23.5</v>
      </c>
      <c r="J191" s="3">
        <f t="shared" si="39"/>
        <v>0.79999999999999716</v>
      </c>
      <c r="K191" s="3">
        <f t="shared" si="40"/>
        <v>14.399999999999949</v>
      </c>
      <c r="L191" s="3">
        <f t="shared" si="41"/>
        <v>12.799999999999955</v>
      </c>
      <c r="M191" s="3">
        <f t="shared" si="42"/>
        <v>11.19999999999996</v>
      </c>
      <c r="N191" s="3">
        <f t="shared" si="43"/>
        <v>9.5999999999999659</v>
      </c>
      <c r="O191" s="3">
        <f t="shared" si="44"/>
        <v>7.9999999999999716</v>
      </c>
      <c r="P191" s="3"/>
      <c r="Q191" s="3">
        <v>51.478000000000002</v>
      </c>
      <c r="R191" s="3"/>
    </row>
    <row r="192" ht="14.25">
      <c r="A192">
        <v>1203923</v>
      </c>
      <c r="B192">
        <v>18</v>
      </c>
      <c r="C192">
        <v>70.310000000000002</v>
      </c>
      <c r="D192">
        <v>88</v>
      </c>
      <c r="E192">
        <v>36.700000000000003</v>
      </c>
      <c r="F192" s="3">
        <f t="shared" si="36"/>
        <v>20.100000000000001</v>
      </c>
      <c r="G192" s="3">
        <f t="shared" si="37"/>
        <v>55.299999999999997</v>
      </c>
      <c r="H192" s="3">
        <v>37.5</v>
      </c>
      <c r="I192" s="3">
        <f t="shared" si="38"/>
        <v>24.399999999999999</v>
      </c>
      <c r="J192" s="3">
        <f t="shared" si="39"/>
        <v>0.79999999999999716</v>
      </c>
      <c r="K192" s="3">
        <f t="shared" si="40"/>
        <v>14.399999999999949</v>
      </c>
      <c r="L192" s="3">
        <f t="shared" si="41"/>
        <v>12.799999999999955</v>
      </c>
      <c r="M192" s="3">
        <f t="shared" si="42"/>
        <v>11.19999999999996</v>
      </c>
      <c r="N192" s="3">
        <f t="shared" si="43"/>
        <v>9.5999999999999659</v>
      </c>
      <c r="O192" s="3">
        <f t="shared" si="44"/>
        <v>7.9999999999999716</v>
      </c>
      <c r="P192" s="3"/>
      <c r="Q192" s="3">
        <v>51.590000000000003</v>
      </c>
      <c r="R192" s="3"/>
    </row>
    <row r="193" ht="14.25">
      <c r="A193">
        <v>1210227</v>
      </c>
      <c r="B193">
        <v>16</v>
      </c>
      <c r="C193">
        <v>70.420000000000002</v>
      </c>
      <c r="D193">
        <v>86</v>
      </c>
      <c r="E193">
        <v>36.700000000000003</v>
      </c>
      <c r="F193" s="3">
        <f t="shared" si="36"/>
        <v>20.199999999999999</v>
      </c>
      <c r="G193" s="3">
        <f t="shared" si="37"/>
        <v>54.100000000000001</v>
      </c>
      <c r="H193" s="3">
        <v>37.5</v>
      </c>
      <c r="I193" s="3">
        <f t="shared" si="38"/>
        <v>23.800000000000001</v>
      </c>
      <c r="J193" s="3">
        <f t="shared" si="39"/>
        <v>0.79999999999999716</v>
      </c>
      <c r="K193" s="3">
        <f t="shared" si="40"/>
        <v>14.399999999999949</v>
      </c>
      <c r="L193" s="3">
        <f t="shared" si="41"/>
        <v>12.799999999999955</v>
      </c>
      <c r="M193" s="3">
        <f t="shared" si="42"/>
        <v>11.19999999999996</v>
      </c>
      <c r="N193" s="3">
        <f t="shared" si="43"/>
        <v>9.5999999999999659</v>
      </c>
      <c r="O193" s="3">
        <f t="shared" si="44"/>
        <v>7.9999999999999716</v>
      </c>
      <c r="P193" s="3"/>
      <c r="Q193" s="3">
        <v>51.688000000000002</v>
      </c>
      <c r="R193" s="3"/>
    </row>
    <row r="194" ht="14.25">
      <c r="A194">
        <v>1216530</v>
      </c>
      <c r="B194">
        <v>14.67</v>
      </c>
      <c r="C194">
        <v>70.530000000000001</v>
      </c>
      <c r="D194">
        <v>85</v>
      </c>
      <c r="E194">
        <v>36.700000000000003</v>
      </c>
      <c r="F194" s="3">
        <f t="shared" si="36"/>
        <v>20.300000000000001</v>
      </c>
      <c r="G194" s="3">
        <f t="shared" si="37"/>
        <v>53.5</v>
      </c>
      <c r="H194" s="3">
        <v>37.5</v>
      </c>
      <c r="I194" s="3">
        <f t="shared" si="38"/>
        <v>23.5</v>
      </c>
      <c r="J194" s="3">
        <f t="shared" si="39"/>
        <v>0.79999999999999716</v>
      </c>
      <c r="K194" s="3">
        <f t="shared" si="40"/>
        <v>14.399999999999949</v>
      </c>
      <c r="L194" s="3">
        <f t="shared" si="41"/>
        <v>12.799999999999955</v>
      </c>
      <c r="M194" s="3">
        <f t="shared" si="42"/>
        <v>11.19999999999996</v>
      </c>
      <c r="N194" s="3">
        <f t="shared" si="43"/>
        <v>9.5999999999999659</v>
      </c>
      <c r="O194" s="3">
        <f t="shared" si="44"/>
        <v>7.9999999999999716</v>
      </c>
      <c r="P194" s="3"/>
      <c r="Q194" s="3">
        <v>51.814</v>
      </c>
      <c r="R194" s="3"/>
    </row>
    <row r="195" ht="14.25">
      <c r="A195">
        <v>1222834</v>
      </c>
      <c r="B195">
        <v>14.67</v>
      </c>
      <c r="C195">
        <v>70.629999999999995</v>
      </c>
      <c r="D195">
        <v>85</v>
      </c>
      <c r="E195">
        <v>36.700000000000003</v>
      </c>
      <c r="F195" s="3">
        <f t="shared" si="36"/>
        <v>20.399999999999999</v>
      </c>
      <c r="G195" s="3">
        <f t="shared" si="37"/>
        <v>53.5</v>
      </c>
      <c r="H195" s="3">
        <v>37.5</v>
      </c>
      <c r="I195" s="3">
        <f t="shared" si="38"/>
        <v>23.5</v>
      </c>
      <c r="J195" s="3">
        <f t="shared" si="39"/>
        <v>0.79999999999999716</v>
      </c>
      <c r="K195" s="3">
        <f t="shared" si="40"/>
        <v>14.399999999999949</v>
      </c>
      <c r="L195" s="3">
        <f t="shared" si="41"/>
        <v>12.799999999999955</v>
      </c>
      <c r="M195" s="3">
        <f t="shared" si="42"/>
        <v>11.19999999999996</v>
      </c>
      <c r="N195" s="3">
        <f t="shared" si="43"/>
        <v>9.5999999999999659</v>
      </c>
      <c r="O195" s="3">
        <f t="shared" si="44"/>
        <v>7.9999999999999716</v>
      </c>
      <c r="P195" s="3"/>
      <c r="Q195" s="3">
        <v>51.898000000000003</v>
      </c>
      <c r="R195" s="3"/>
    </row>
    <row r="196" ht="14.25">
      <c r="A196">
        <v>1229136</v>
      </c>
      <c r="B196">
        <v>14.67</v>
      </c>
      <c r="C196">
        <v>70.730000000000004</v>
      </c>
      <c r="D196">
        <v>85</v>
      </c>
      <c r="E196">
        <v>36.799999999999997</v>
      </c>
      <c r="F196" s="3">
        <f t="shared" si="36"/>
        <v>20.5</v>
      </c>
      <c r="G196" s="3">
        <f t="shared" si="37"/>
        <v>53.5</v>
      </c>
      <c r="H196" s="3">
        <v>37.5</v>
      </c>
      <c r="I196" s="3">
        <f t="shared" si="38"/>
        <v>23.5</v>
      </c>
      <c r="J196" s="3">
        <f t="shared" si="39"/>
        <v>0.70000000000000284</v>
      </c>
      <c r="K196" s="3">
        <f t="shared" si="40"/>
        <v>12.600000000000051</v>
      </c>
      <c r="L196" s="3">
        <f t="shared" si="41"/>
        <v>11.200000000000045</v>
      </c>
      <c r="M196" s="3">
        <f t="shared" si="42"/>
        <v>9.8000000000000398</v>
      </c>
      <c r="N196" s="3">
        <f t="shared" si="43"/>
        <v>8.4000000000000341</v>
      </c>
      <c r="O196" s="3">
        <f t="shared" si="44"/>
        <v>7.0000000000000284</v>
      </c>
      <c r="P196" s="3"/>
      <c r="Q196" s="3">
        <v>51.981999999999999</v>
      </c>
      <c r="R196" s="3"/>
    </row>
    <row r="197" ht="14.25">
      <c r="A197">
        <v>1235439</v>
      </c>
      <c r="B197">
        <v>16.670000000000002</v>
      </c>
      <c r="C197">
        <v>70.849999999999994</v>
      </c>
      <c r="D197">
        <v>87</v>
      </c>
      <c r="E197">
        <v>36.799999999999997</v>
      </c>
      <c r="F197" s="3">
        <f t="shared" si="36"/>
        <v>20.600000000000001</v>
      </c>
      <c r="G197" s="3">
        <f t="shared" si="37"/>
        <v>54.700000000000003</v>
      </c>
      <c r="H197" s="3">
        <v>37.5</v>
      </c>
      <c r="I197" s="3">
        <f t="shared" si="38"/>
        <v>24.100000000000001</v>
      </c>
      <c r="J197" s="3">
        <f t="shared" si="39"/>
        <v>0.70000000000000284</v>
      </c>
      <c r="K197" s="3">
        <f t="shared" si="40"/>
        <v>12.600000000000051</v>
      </c>
      <c r="L197" s="3">
        <f t="shared" si="41"/>
        <v>11.200000000000045</v>
      </c>
      <c r="M197" s="3">
        <f t="shared" si="42"/>
        <v>9.8000000000000398</v>
      </c>
      <c r="N197" s="3">
        <f t="shared" si="43"/>
        <v>8.4000000000000341</v>
      </c>
      <c r="O197" s="3">
        <f t="shared" si="44"/>
        <v>7.0000000000000284</v>
      </c>
      <c r="P197" s="3"/>
      <c r="Q197" s="3">
        <v>52.079999999999998</v>
      </c>
      <c r="R197" s="3"/>
    </row>
    <row r="198" ht="14.25">
      <c r="A198">
        <v>1241742</v>
      </c>
      <c r="B198">
        <v>15.33</v>
      </c>
      <c r="C198">
        <v>70.959999999999994</v>
      </c>
      <c r="D198">
        <v>86</v>
      </c>
      <c r="E198">
        <v>36.799999999999997</v>
      </c>
      <c r="F198" s="3">
        <f t="shared" si="36"/>
        <v>20.699999999999999</v>
      </c>
      <c r="G198" s="3">
        <f t="shared" si="37"/>
        <v>54.100000000000001</v>
      </c>
      <c r="H198" s="3">
        <v>37.5</v>
      </c>
      <c r="I198" s="3">
        <f t="shared" si="38"/>
        <v>23.800000000000001</v>
      </c>
      <c r="J198" s="3">
        <f t="shared" si="39"/>
        <v>0.70000000000000284</v>
      </c>
      <c r="K198" s="3">
        <f t="shared" si="40"/>
        <v>12.600000000000051</v>
      </c>
      <c r="L198" s="3">
        <f t="shared" si="41"/>
        <v>11.200000000000045</v>
      </c>
      <c r="M198" s="3">
        <f t="shared" si="42"/>
        <v>9.8000000000000398</v>
      </c>
      <c r="N198" s="3">
        <f t="shared" si="43"/>
        <v>8.4000000000000341</v>
      </c>
      <c r="O198" s="3">
        <f t="shared" si="44"/>
        <v>7.0000000000000284</v>
      </c>
      <c r="P198" s="3"/>
      <c r="Q198" s="3">
        <v>52.219999999999999</v>
      </c>
      <c r="R198" s="3"/>
    </row>
    <row r="199" ht="14.25">
      <c r="A199">
        <v>1248045</v>
      </c>
      <c r="B199">
        <v>15.33</v>
      </c>
      <c r="C199">
        <v>71.060000000000002</v>
      </c>
      <c r="D199">
        <v>86</v>
      </c>
      <c r="E199">
        <v>36.799999999999997</v>
      </c>
      <c r="F199" s="3">
        <f t="shared" si="36"/>
        <v>20.800000000000001</v>
      </c>
      <c r="G199" s="3">
        <f t="shared" si="37"/>
        <v>54.100000000000001</v>
      </c>
      <c r="H199" s="3">
        <v>37.5</v>
      </c>
      <c r="I199" s="3">
        <f t="shared" si="38"/>
        <v>23.800000000000001</v>
      </c>
      <c r="J199" s="3">
        <f t="shared" si="39"/>
        <v>0.70000000000000284</v>
      </c>
      <c r="K199" s="3">
        <f t="shared" si="40"/>
        <v>12.600000000000051</v>
      </c>
      <c r="L199" s="3">
        <f t="shared" si="41"/>
        <v>11.200000000000045</v>
      </c>
      <c r="M199" s="3">
        <f t="shared" si="42"/>
        <v>9.8000000000000398</v>
      </c>
      <c r="N199" s="3">
        <f t="shared" si="43"/>
        <v>8.4000000000000341</v>
      </c>
      <c r="O199" s="3">
        <f t="shared" si="44"/>
        <v>7.0000000000000284</v>
      </c>
      <c r="P199" s="3"/>
      <c r="Q199" s="3">
        <v>52.374000000000002</v>
      </c>
      <c r="R199" s="3"/>
    </row>
    <row r="200" ht="14.25">
      <c r="A200">
        <v>1254347</v>
      </c>
      <c r="B200">
        <v>14.67</v>
      </c>
      <c r="C200">
        <v>71.170000000000002</v>
      </c>
      <c r="D200">
        <v>85</v>
      </c>
      <c r="E200">
        <v>36.799999999999997</v>
      </c>
      <c r="F200" s="3">
        <f t="shared" si="36"/>
        <v>20.899999999999999</v>
      </c>
      <c r="G200" s="3">
        <f t="shared" si="37"/>
        <v>53.5</v>
      </c>
      <c r="H200" s="3">
        <v>37.5</v>
      </c>
      <c r="I200" s="3">
        <f t="shared" si="38"/>
        <v>23.5</v>
      </c>
      <c r="J200" s="3">
        <f t="shared" si="39"/>
        <v>0.70000000000000284</v>
      </c>
      <c r="K200" s="3">
        <f t="shared" si="40"/>
        <v>12.600000000000051</v>
      </c>
      <c r="L200" s="3">
        <f t="shared" si="41"/>
        <v>11.200000000000045</v>
      </c>
      <c r="M200" s="3">
        <f t="shared" si="42"/>
        <v>9.8000000000000398</v>
      </c>
      <c r="N200" s="3">
        <f t="shared" si="43"/>
        <v>8.4000000000000341</v>
      </c>
      <c r="O200" s="3">
        <f t="shared" si="44"/>
        <v>7.0000000000000284</v>
      </c>
      <c r="P200" s="3"/>
      <c r="Q200" s="3">
        <v>52.472000000000001</v>
      </c>
      <c r="R200" s="3"/>
    </row>
    <row r="201" ht="14.25">
      <c r="A201">
        <v>1260651</v>
      </c>
      <c r="B201">
        <v>15.33</v>
      </c>
      <c r="C201">
        <v>71.269999999999996</v>
      </c>
      <c r="D201">
        <v>86</v>
      </c>
      <c r="E201">
        <v>36.700000000000003</v>
      </c>
      <c r="F201" s="3">
        <f t="shared" si="36"/>
        <v>21</v>
      </c>
      <c r="G201" s="3">
        <f t="shared" si="37"/>
        <v>54.100000000000001</v>
      </c>
      <c r="H201" s="3">
        <v>37.5</v>
      </c>
      <c r="I201" s="3">
        <f t="shared" si="38"/>
        <v>23.800000000000001</v>
      </c>
      <c r="J201" s="3">
        <f t="shared" si="39"/>
        <v>0.79999999999999716</v>
      </c>
      <c r="K201" s="3">
        <f t="shared" si="40"/>
        <v>14.399999999999949</v>
      </c>
      <c r="L201" s="3">
        <f t="shared" si="41"/>
        <v>12.799999999999955</v>
      </c>
      <c r="M201" s="3">
        <f t="shared" si="42"/>
        <v>11.19999999999996</v>
      </c>
      <c r="N201" s="3">
        <f t="shared" si="43"/>
        <v>9.5999999999999659</v>
      </c>
      <c r="O201" s="3">
        <f t="shared" si="44"/>
        <v>7.9999999999999716</v>
      </c>
      <c r="P201" s="3"/>
      <c r="Q201" s="3">
        <v>52.640000000000001</v>
      </c>
      <c r="R201" s="3"/>
    </row>
    <row r="202" ht="14.25">
      <c r="A202">
        <v>1266954</v>
      </c>
      <c r="B202">
        <v>15.33</v>
      </c>
      <c r="C202">
        <v>71.379999999999995</v>
      </c>
      <c r="D202">
        <v>86</v>
      </c>
      <c r="E202">
        <v>36.700000000000003</v>
      </c>
      <c r="F202" s="3">
        <f t="shared" si="36"/>
        <v>21.100000000000001</v>
      </c>
      <c r="G202" s="3">
        <f t="shared" si="37"/>
        <v>54.100000000000001</v>
      </c>
      <c r="H202" s="3">
        <v>37.5</v>
      </c>
      <c r="I202" s="3">
        <f t="shared" si="38"/>
        <v>23.800000000000001</v>
      </c>
      <c r="J202" s="3">
        <f t="shared" si="39"/>
        <v>0.79999999999999716</v>
      </c>
      <c r="K202" s="3">
        <f t="shared" si="40"/>
        <v>14.399999999999949</v>
      </c>
      <c r="L202" s="3">
        <f t="shared" si="41"/>
        <v>12.799999999999955</v>
      </c>
      <c r="M202" s="3">
        <f t="shared" si="42"/>
        <v>11.19999999999996</v>
      </c>
      <c r="N202" s="3">
        <f t="shared" si="43"/>
        <v>9.5999999999999659</v>
      </c>
      <c r="O202" s="3">
        <f t="shared" si="44"/>
        <v>7.9999999999999716</v>
      </c>
      <c r="P202" s="3"/>
      <c r="Q202" s="3">
        <v>52.710000000000001</v>
      </c>
      <c r="R202" s="3"/>
    </row>
    <row r="203" ht="14.25">
      <c r="A203">
        <v>1273256</v>
      </c>
      <c r="B203">
        <v>13.33</v>
      </c>
      <c r="C203">
        <v>71.469999999999999</v>
      </c>
      <c r="D203">
        <v>84</v>
      </c>
      <c r="E203">
        <v>36.799999999999997</v>
      </c>
      <c r="F203" s="3">
        <f t="shared" si="36"/>
        <v>21.199999999999999</v>
      </c>
      <c r="G203" s="3">
        <f t="shared" si="37"/>
        <v>52.799999999999997</v>
      </c>
      <c r="H203" s="3">
        <v>37.5</v>
      </c>
      <c r="I203" s="3">
        <f t="shared" si="38"/>
        <v>23.199999999999999</v>
      </c>
      <c r="J203" s="3">
        <f t="shared" si="39"/>
        <v>0.70000000000000284</v>
      </c>
      <c r="K203" s="3">
        <f t="shared" si="40"/>
        <v>12.600000000000051</v>
      </c>
      <c r="L203" s="3">
        <f t="shared" si="41"/>
        <v>11.200000000000045</v>
      </c>
      <c r="M203" s="3">
        <f t="shared" si="42"/>
        <v>9.8000000000000398</v>
      </c>
      <c r="N203" s="3">
        <f t="shared" si="43"/>
        <v>8.4000000000000341</v>
      </c>
      <c r="O203" s="3">
        <f t="shared" si="44"/>
        <v>7.0000000000000284</v>
      </c>
      <c r="P203" s="3"/>
      <c r="Q203" s="3">
        <v>52.793999999999997</v>
      </c>
      <c r="R203" s="3"/>
    </row>
    <row r="204" ht="14.25">
      <c r="A204">
        <v>1279560</v>
      </c>
      <c r="B204">
        <v>13.33</v>
      </c>
      <c r="C204">
        <v>71.569999999999993</v>
      </c>
      <c r="D204">
        <v>84</v>
      </c>
      <c r="E204">
        <v>36.799999999999997</v>
      </c>
      <c r="F204" s="3">
        <f t="shared" si="36"/>
        <v>21.300000000000001</v>
      </c>
      <c r="G204" s="3">
        <f t="shared" si="37"/>
        <v>52.799999999999997</v>
      </c>
      <c r="H204" s="3">
        <v>37.5</v>
      </c>
      <c r="I204" s="3">
        <f t="shared" si="38"/>
        <v>23.199999999999999</v>
      </c>
      <c r="J204" s="3">
        <f t="shared" si="39"/>
        <v>0.70000000000000284</v>
      </c>
      <c r="K204" s="3">
        <f t="shared" si="40"/>
        <v>12.600000000000051</v>
      </c>
      <c r="L204" s="3">
        <f t="shared" si="41"/>
        <v>11.200000000000045</v>
      </c>
      <c r="M204" s="3">
        <f t="shared" si="42"/>
        <v>9.8000000000000398</v>
      </c>
      <c r="N204" s="3">
        <f t="shared" si="43"/>
        <v>8.4000000000000341</v>
      </c>
      <c r="O204" s="3">
        <f t="shared" si="44"/>
        <v>7.0000000000000284</v>
      </c>
      <c r="P204" s="3"/>
      <c r="Q204" s="3">
        <v>52.905999999999999</v>
      </c>
      <c r="R204" s="3"/>
    </row>
    <row r="205" ht="14.25">
      <c r="A205">
        <v>1285865</v>
      </c>
      <c r="B205">
        <v>14.67</v>
      </c>
      <c r="C205">
        <v>71.670000000000002</v>
      </c>
      <c r="D205">
        <v>86</v>
      </c>
      <c r="E205">
        <v>36.899999999999999</v>
      </c>
      <c r="F205" s="3">
        <f t="shared" si="36"/>
        <v>21.399999999999999</v>
      </c>
      <c r="G205" s="3">
        <f t="shared" si="37"/>
        <v>54.100000000000001</v>
      </c>
      <c r="H205" s="3">
        <v>37.5</v>
      </c>
      <c r="I205" s="3">
        <f t="shared" si="38"/>
        <v>23.800000000000001</v>
      </c>
      <c r="J205" s="3">
        <f t="shared" si="39"/>
        <v>0.60000000000000142</v>
      </c>
      <c r="K205" s="3">
        <f t="shared" si="40"/>
        <v>10.800000000000026</v>
      </c>
      <c r="L205" s="3">
        <f t="shared" si="41"/>
        <v>9.6000000000000227</v>
      </c>
      <c r="M205" s="3">
        <f t="shared" si="42"/>
        <v>8.4000000000000199</v>
      </c>
      <c r="N205" s="3">
        <f t="shared" si="43"/>
        <v>7.2000000000000171</v>
      </c>
      <c r="O205" s="3">
        <f t="shared" si="44"/>
        <v>6.0000000000000142</v>
      </c>
      <c r="P205" s="3"/>
      <c r="Q205" s="3">
        <v>52.975999999999999</v>
      </c>
      <c r="R205" s="3"/>
    </row>
    <row r="206" ht="14.25">
      <c r="A206">
        <v>1292169</v>
      </c>
      <c r="B206">
        <v>12</v>
      </c>
      <c r="C206">
        <v>71.75</v>
      </c>
      <c r="D206">
        <v>83</v>
      </c>
      <c r="E206">
        <v>37</v>
      </c>
      <c r="F206" s="3">
        <f t="shared" si="36"/>
        <v>21.5</v>
      </c>
      <c r="G206" s="3">
        <f t="shared" si="37"/>
        <v>52.200000000000003</v>
      </c>
      <c r="H206" s="3">
        <v>37.5</v>
      </c>
      <c r="I206" s="3">
        <f t="shared" si="38"/>
        <v>23</v>
      </c>
      <c r="J206" s="3">
        <f t="shared" si="39"/>
        <v>0.5</v>
      </c>
      <c r="K206" s="3">
        <f t="shared" si="40"/>
        <v>9</v>
      </c>
      <c r="L206" s="3">
        <f t="shared" si="41"/>
        <v>8</v>
      </c>
      <c r="M206" s="3">
        <f t="shared" si="42"/>
        <v>7</v>
      </c>
      <c r="N206" s="3">
        <f t="shared" si="43"/>
        <v>6</v>
      </c>
      <c r="O206" s="3">
        <f t="shared" si="44"/>
        <v>5</v>
      </c>
      <c r="P206" s="3"/>
      <c r="Q206" s="3">
        <v>53.060000000000002</v>
      </c>
      <c r="R206" s="3"/>
    </row>
    <row r="207" ht="14.25">
      <c r="A207">
        <v>1298471</v>
      </c>
      <c r="B207">
        <v>13.33</v>
      </c>
      <c r="C207">
        <v>71.849999999999994</v>
      </c>
      <c r="D207">
        <v>85</v>
      </c>
      <c r="E207">
        <v>36.799999999999997</v>
      </c>
      <c r="F207" s="3">
        <f t="shared" si="36"/>
        <v>21.600000000000001</v>
      </c>
      <c r="G207" s="3">
        <f t="shared" si="37"/>
        <v>53.5</v>
      </c>
      <c r="H207" s="3">
        <v>37.5</v>
      </c>
      <c r="I207" s="3">
        <f t="shared" si="38"/>
        <v>23.5</v>
      </c>
      <c r="J207" s="3">
        <f t="shared" si="39"/>
        <v>0.70000000000000284</v>
      </c>
      <c r="K207" s="3">
        <f t="shared" si="40"/>
        <v>12.600000000000051</v>
      </c>
      <c r="L207" s="3">
        <f t="shared" si="41"/>
        <v>11.200000000000045</v>
      </c>
      <c r="M207" s="3">
        <f t="shared" si="42"/>
        <v>9.8000000000000398</v>
      </c>
      <c r="N207" s="3">
        <f t="shared" si="43"/>
        <v>8.4000000000000341</v>
      </c>
      <c r="O207" s="3">
        <f t="shared" si="44"/>
        <v>7.0000000000000284</v>
      </c>
      <c r="P207" s="3"/>
      <c r="Q207" s="3">
        <v>53.143999999999998</v>
      </c>
      <c r="R207" s="3"/>
    </row>
    <row r="208" ht="14.25">
      <c r="A208">
        <v>1304774</v>
      </c>
      <c r="B208">
        <v>13.33</v>
      </c>
      <c r="C208">
        <v>71.939999999999998</v>
      </c>
      <c r="D208">
        <v>85</v>
      </c>
      <c r="E208">
        <v>36.799999999999997</v>
      </c>
      <c r="F208" s="3">
        <f t="shared" si="36"/>
        <v>21.699999999999999</v>
      </c>
      <c r="G208" s="3">
        <f t="shared" si="37"/>
        <v>53.5</v>
      </c>
      <c r="H208" s="3">
        <v>37.5</v>
      </c>
      <c r="I208" s="3">
        <f t="shared" si="38"/>
        <v>23.5</v>
      </c>
      <c r="J208" s="3">
        <f t="shared" si="39"/>
        <v>0.70000000000000284</v>
      </c>
      <c r="K208" s="3">
        <f t="shared" si="40"/>
        <v>12.600000000000051</v>
      </c>
      <c r="L208" s="3">
        <f t="shared" si="41"/>
        <v>11.200000000000045</v>
      </c>
      <c r="M208" s="3">
        <f t="shared" si="42"/>
        <v>9.8000000000000398</v>
      </c>
      <c r="N208" s="3">
        <f t="shared" si="43"/>
        <v>8.4000000000000341</v>
      </c>
      <c r="O208" s="3">
        <f t="shared" si="44"/>
        <v>7.0000000000000284</v>
      </c>
      <c r="P208" s="3"/>
      <c r="Q208" s="3">
        <v>53.228000000000002</v>
      </c>
      <c r="R208" s="3"/>
    </row>
    <row r="209" ht="14.25">
      <c r="A209">
        <v>1311078</v>
      </c>
      <c r="B209">
        <v>11.33</v>
      </c>
      <c r="C209">
        <v>72.019999999999996</v>
      </c>
      <c r="D209">
        <v>83</v>
      </c>
      <c r="E209">
        <v>37</v>
      </c>
      <c r="F209" s="3">
        <f t="shared" si="36"/>
        <v>21.899999999999999</v>
      </c>
      <c r="G209" s="3">
        <f t="shared" si="37"/>
        <v>52.200000000000003</v>
      </c>
      <c r="H209" s="3">
        <v>37.5</v>
      </c>
      <c r="I209" s="3">
        <f t="shared" si="38"/>
        <v>23</v>
      </c>
      <c r="J209" s="3">
        <f t="shared" si="39"/>
        <v>0.5</v>
      </c>
      <c r="K209" s="3">
        <f t="shared" si="40"/>
        <v>9</v>
      </c>
      <c r="L209" s="3">
        <f t="shared" si="41"/>
        <v>8</v>
      </c>
      <c r="M209" s="3">
        <f t="shared" si="42"/>
        <v>7</v>
      </c>
      <c r="N209" s="3">
        <f t="shared" si="43"/>
        <v>6</v>
      </c>
      <c r="O209" s="3">
        <f t="shared" si="44"/>
        <v>5</v>
      </c>
      <c r="P209" s="3"/>
      <c r="Q209" s="3">
        <v>53.311999999999998</v>
      </c>
      <c r="R209" s="3"/>
    </row>
    <row r="210" ht="14.25">
      <c r="A210">
        <v>1317381</v>
      </c>
      <c r="B210">
        <v>8.6699999999999999</v>
      </c>
      <c r="C210">
        <v>72.079999999999998</v>
      </c>
      <c r="D210">
        <v>80</v>
      </c>
      <c r="E210">
        <v>37</v>
      </c>
      <c r="F210" s="3">
        <f t="shared" si="36"/>
        <v>22</v>
      </c>
      <c r="G210" s="3">
        <f t="shared" si="37"/>
        <v>50.299999999999997</v>
      </c>
      <c r="H210" s="3">
        <v>37.5</v>
      </c>
      <c r="I210" s="3">
        <f t="shared" si="38"/>
        <v>22.100000000000001</v>
      </c>
      <c r="J210" s="3">
        <f t="shared" si="39"/>
        <v>0.5</v>
      </c>
      <c r="K210" s="3">
        <f t="shared" si="40"/>
        <v>9</v>
      </c>
      <c r="L210" s="3">
        <f t="shared" si="41"/>
        <v>8</v>
      </c>
      <c r="M210" s="3">
        <f t="shared" si="42"/>
        <v>7</v>
      </c>
      <c r="N210" s="3">
        <f t="shared" si="43"/>
        <v>6</v>
      </c>
      <c r="O210" s="3">
        <f t="shared" si="44"/>
        <v>5</v>
      </c>
      <c r="P210" s="3"/>
      <c r="Q210" s="3">
        <v>53.396000000000001</v>
      </c>
      <c r="R210" s="3"/>
    </row>
    <row r="211" ht="14.25">
      <c r="A211">
        <v>1323684</v>
      </c>
      <c r="B211">
        <v>9.3300000000000001</v>
      </c>
      <c r="C211">
        <v>72.150000000000006</v>
      </c>
      <c r="D211">
        <v>81</v>
      </c>
      <c r="E211">
        <v>36.899999999999999</v>
      </c>
      <c r="F211" s="3">
        <f t="shared" si="36"/>
        <v>22.100000000000001</v>
      </c>
      <c r="G211" s="3">
        <f t="shared" si="37"/>
        <v>50.899999999999999</v>
      </c>
      <c r="H211" s="3">
        <v>37.5</v>
      </c>
      <c r="I211" s="3">
        <f t="shared" si="38"/>
        <v>22.399999999999999</v>
      </c>
      <c r="J211" s="3">
        <f t="shared" si="39"/>
        <v>0.60000000000000142</v>
      </c>
      <c r="K211" s="3">
        <f t="shared" si="40"/>
        <v>10.800000000000026</v>
      </c>
      <c r="L211" s="3">
        <f t="shared" si="41"/>
        <v>9.6000000000000227</v>
      </c>
      <c r="M211" s="3">
        <f t="shared" si="42"/>
        <v>8.4000000000000199</v>
      </c>
      <c r="N211" s="3">
        <f t="shared" si="43"/>
        <v>7.2000000000000171</v>
      </c>
      <c r="O211" s="3">
        <f t="shared" si="44"/>
        <v>6.0000000000000142</v>
      </c>
      <c r="P211" s="3"/>
      <c r="Q211" s="3">
        <v>53.451999999999998</v>
      </c>
      <c r="R211" s="3"/>
    </row>
    <row r="212" ht="14.25">
      <c r="A212">
        <v>1329987</v>
      </c>
      <c r="B212">
        <v>12</v>
      </c>
      <c r="C212">
        <v>72.230000000000004</v>
      </c>
      <c r="D212">
        <v>84</v>
      </c>
      <c r="E212">
        <v>37</v>
      </c>
      <c r="F212" s="3">
        <f t="shared" si="36"/>
        <v>22.199999999999999</v>
      </c>
      <c r="G212" s="3">
        <f t="shared" si="37"/>
        <v>52.799999999999997</v>
      </c>
      <c r="H212" s="3">
        <v>37.5</v>
      </c>
      <c r="I212" s="3">
        <f t="shared" si="38"/>
        <v>23.199999999999999</v>
      </c>
      <c r="J212" s="3">
        <f t="shared" si="39"/>
        <v>0.5</v>
      </c>
      <c r="K212" s="3">
        <f t="shared" si="40"/>
        <v>9</v>
      </c>
      <c r="L212" s="3">
        <f t="shared" si="41"/>
        <v>8</v>
      </c>
      <c r="M212" s="3">
        <f t="shared" si="42"/>
        <v>7</v>
      </c>
      <c r="N212" s="3">
        <f t="shared" si="43"/>
        <v>6</v>
      </c>
      <c r="O212" s="3">
        <f t="shared" si="44"/>
        <v>5</v>
      </c>
      <c r="P212" s="3"/>
      <c r="Q212" s="3">
        <v>53.508000000000003</v>
      </c>
      <c r="R212" s="3"/>
    </row>
    <row r="213" ht="14.25">
      <c r="A213">
        <v>1336290</v>
      </c>
      <c r="B213">
        <v>9.3300000000000001</v>
      </c>
      <c r="C213">
        <v>72.299999999999997</v>
      </c>
      <c r="D213">
        <v>81</v>
      </c>
      <c r="E213">
        <v>37</v>
      </c>
      <c r="F213" s="3">
        <f t="shared" si="36"/>
        <v>22.300000000000001</v>
      </c>
      <c r="G213" s="3">
        <f t="shared" si="37"/>
        <v>50.899999999999999</v>
      </c>
      <c r="H213" s="3">
        <v>37.5</v>
      </c>
      <c r="I213" s="3">
        <f t="shared" si="38"/>
        <v>22.399999999999999</v>
      </c>
      <c r="J213" s="3">
        <f t="shared" si="39"/>
        <v>0.5</v>
      </c>
      <c r="K213" s="3">
        <f t="shared" si="40"/>
        <v>9</v>
      </c>
      <c r="L213" s="3">
        <f t="shared" si="41"/>
        <v>8</v>
      </c>
      <c r="M213" s="3">
        <f t="shared" si="42"/>
        <v>7</v>
      </c>
      <c r="N213" s="3">
        <f t="shared" si="43"/>
        <v>6</v>
      </c>
      <c r="O213" s="3">
        <f t="shared" si="44"/>
        <v>5</v>
      </c>
      <c r="P213" s="3"/>
      <c r="Q213" s="3">
        <v>53.564</v>
      </c>
      <c r="R213" s="3"/>
    </row>
    <row r="214" ht="14.25">
      <c r="A214">
        <v>1342594</v>
      </c>
      <c r="B214">
        <v>11.33</v>
      </c>
      <c r="C214">
        <v>72.379999999999995</v>
      </c>
      <c r="D214">
        <v>83</v>
      </c>
      <c r="E214">
        <v>36.899999999999999</v>
      </c>
      <c r="F214" s="3">
        <f t="shared" si="36"/>
        <v>22.399999999999999</v>
      </c>
      <c r="G214" s="3">
        <f t="shared" si="37"/>
        <v>52.200000000000003</v>
      </c>
      <c r="H214" s="3">
        <v>37.5</v>
      </c>
      <c r="I214" s="3">
        <f t="shared" si="38"/>
        <v>23</v>
      </c>
      <c r="J214" s="3">
        <f t="shared" si="39"/>
        <v>0.60000000000000142</v>
      </c>
      <c r="K214" s="3">
        <f t="shared" si="40"/>
        <v>10.800000000000026</v>
      </c>
      <c r="L214" s="3">
        <f t="shared" si="41"/>
        <v>9.6000000000000227</v>
      </c>
      <c r="M214" s="3">
        <f t="shared" si="42"/>
        <v>8.4000000000000199</v>
      </c>
      <c r="N214" s="3">
        <f t="shared" si="43"/>
        <v>7.2000000000000171</v>
      </c>
      <c r="O214" s="3">
        <f t="shared" si="44"/>
        <v>6.0000000000000142</v>
      </c>
      <c r="P214" s="3"/>
      <c r="Q214" s="3">
        <v>53.634</v>
      </c>
      <c r="R214" s="3"/>
    </row>
    <row r="215" ht="14.25">
      <c r="A215">
        <v>1348896</v>
      </c>
      <c r="B215">
        <v>8</v>
      </c>
      <c r="C215">
        <v>72.430000000000007</v>
      </c>
      <c r="D215">
        <v>80</v>
      </c>
      <c r="E215">
        <v>37.200000000000003</v>
      </c>
      <c r="F215" s="3">
        <f t="shared" si="36"/>
        <v>22.5</v>
      </c>
      <c r="G215" s="3">
        <f t="shared" si="37"/>
        <v>50.299999999999997</v>
      </c>
      <c r="H215" s="3">
        <v>37.5</v>
      </c>
      <c r="I215" s="3">
        <f t="shared" si="38"/>
        <v>22.100000000000001</v>
      </c>
      <c r="J215" s="3">
        <f t="shared" si="39"/>
        <v>0.29999999999999716</v>
      </c>
      <c r="K215" s="3">
        <f t="shared" si="40"/>
        <v>5.3999999999999488</v>
      </c>
      <c r="L215" s="3">
        <f t="shared" si="41"/>
        <v>4.7999999999999545</v>
      </c>
      <c r="M215" s="3">
        <f t="shared" si="42"/>
        <v>4.1999999999999602</v>
      </c>
      <c r="N215" s="3">
        <f t="shared" si="43"/>
        <v>3.5999999999999659</v>
      </c>
      <c r="O215" s="3">
        <f t="shared" si="44"/>
        <v>2.9999999999999716</v>
      </c>
      <c r="P215" s="3"/>
      <c r="Q215" s="3">
        <v>53.704000000000001</v>
      </c>
      <c r="R215" s="3"/>
    </row>
    <row r="216" ht="14.25">
      <c r="A216">
        <v>1355199</v>
      </c>
      <c r="B216">
        <v>7.3300000000000001</v>
      </c>
      <c r="C216">
        <v>72.480000000000004</v>
      </c>
      <c r="D216">
        <v>79</v>
      </c>
      <c r="E216">
        <v>37.100000000000001</v>
      </c>
      <c r="F216" s="3">
        <f t="shared" si="36"/>
        <v>22.600000000000001</v>
      </c>
      <c r="G216" s="3">
        <f t="shared" si="37"/>
        <v>49.700000000000003</v>
      </c>
      <c r="H216" s="3">
        <v>37.5</v>
      </c>
      <c r="I216" s="3">
        <f t="shared" si="38"/>
        <v>21.899999999999999</v>
      </c>
      <c r="J216" s="3">
        <f t="shared" si="39"/>
        <v>0.39999999999999858</v>
      </c>
      <c r="K216" s="3">
        <f t="shared" si="40"/>
        <v>7.1999999999999744</v>
      </c>
      <c r="L216" s="3">
        <f t="shared" si="41"/>
        <v>6.3999999999999773</v>
      </c>
      <c r="M216" s="3">
        <f t="shared" si="42"/>
        <v>5.5999999999999801</v>
      </c>
      <c r="N216" s="3">
        <f t="shared" si="43"/>
        <v>4.7999999999999829</v>
      </c>
      <c r="O216" s="3">
        <f t="shared" si="44"/>
        <v>3.9999999999999858</v>
      </c>
      <c r="P216" s="3"/>
      <c r="Q216" s="3">
        <v>53.774000000000001</v>
      </c>
      <c r="R216" s="3"/>
    </row>
    <row r="217" ht="14.25">
      <c r="A217">
        <v>1361503</v>
      </c>
      <c r="B217">
        <v>8.6699999999999999</v>
      </c>
      <c r="C217">
        <v>72.540000000000006</v>
      </c>
      <c r="D217">
        <v>81</v>
      </c>
      <c r="E217">
        <v>37.200000000000003</v>
      </c>
      <c r="F217" s="3">
        <f t="shared" si="36"/>
        <v>22.699999999999999</v>
      </c>
      <c r="G217" s="3">
        <f t="shared" si="37"/>
        <v>50.899999999999999</v>
      </c>
      <c r="H217" s="3">
        <v>37.5</v>
      </c>
      <c r="I217" s="3">
        <f t="shared" si="38"/>
        <v>22.399999999999999</v>
      </c>
      <c r="J217" s="3">
        <f t="shared" si="39"/>
        <v>0.29999999999999716</v>
      </c>
      <c r="K217" s="3">
        <f t="shared" si="40"/>
        <v>5.3999999999999488</v>
      </c>
      <c r="L217" s="3">
        <f t="shared" si="41"/>
        <v>4.7999999999999545</v>
      </c>
      <c r="M217" s="3">
        <f t="shared" si="42"/>
        <v>4.1999999999999602</v>
      </c>
      <c r="N217" s="3">
        <f t="shared" si="43"/>
        <v>3.5999999999999659</v>
      </c>
      <c r="O217" s="3">
        <f t="shared" si="44"/>
        <v>2.9999999999999716</v>
      </c>
      <c r="P217" s="3"/>
      <c r="Q217" s="3">
        <v>53.829999999999998</v>
      </c>
      <c r="R217" s="3"/>
    </row>
    <row r="218" ht="14.25">
      <c r="A218">
        <v>1367806</v>
      </c>
      <c r="B218">
        <v>6</v>
      </c>
      <c r="C218">
        <v>72.590000000000003</v>
      </c>
      <c r="D218">
        <v>78</v>
      </c>
      <c r="E218">
        <v>37.100000000000001</v>
      </c>
      <c r="F218" s="3">
        <f t="shared" si="36"/>
        <v>22.800000000000001</v>
      </c>
      <c r="G218" s="3">
        <f t="shared" si="37"/>
        <v>49.100000000000001</v>
      </c>
      <c r="H218" s="3">
        <v>37.5</v>
      </c>
      <c r="I218" s="3">
        <f t="shared" si="38"/>
        <v>21.600000000000001</v>
      </c>
      <c r="J218" s="3">
        <f t="shared" si="39"/>
        <v>0.39999999999999858</v>
      </c>
      <c r="K218" s="3">
        <f t="shared" si="40"/>
        <v>7.1999999999999744</v>
      </c>
      <c r="L218" s="3">
        <f t="shared" si="41"/>
        <v>6.3999999999999773</v>
      </c>
      <c r="M218" s="3">
        <f t="shared" si="42"/>
        <v>5.5999999999999801</v>
      </c>
      <c r="N218" s="3">
        <f t="shared" si="43"/>
        <v>4.7999999999999829</v>
      </c>
      <c r="O218" s="3">
        <f t="shared" si="44"/>
        <v>3.9999999999999858</v>
      </c>
      <c r="P218" s="3"/>
      <c r="Q218" s="3">
        <v>53.886000000000003</v>
      </c>
      <c r="R218" s="3"/>
    </row>
    <row r="219" ht="14.25">
      <c r="A219">
        <v>1374110</v>
      </c>
      <c r="B219">
        <v>8.6699999999999999</v>
      </c>
      <c r="C219">
        <v>72.650000000000006</v>
      </c>
      <c r="D219">
        <v>81</v>
      </c>
      <c r="E219">
        <v>37</v>
      </c>
      <c r="F219" s="3">
        <f t="shared" si="36"/>
        <v>22.899999999999999</v>
      </c>
      <c r="G219" s="3">
        <f t="shared" si="37"/>
        <v>50.899999999999999</v>
      </c>
      <c r="H219" s="3">
        <v>37.5</v>
      </c>
      <c r="I219" s="3">
        <f t="shared" si="38"/>
        <v>22.399999999999999</v>
      </c>
      <c r="J219" s="3">
        <f t="shared" si="39"/>
        <v>0.5</v>
      </c>
      <c r="K219" s="3">
        <f t="shared" si="40"/>
        <v>9</v>
      </c>
      <c r="L219" s="3">
        <f t="shared" si="41"/>
        <v>8</v>
      </c>
      <c r="M219" s="3">
        <f t="shared" si="42"/>
        <v>7</v>
      </c>
      <c r="N219" s="3">
        <f t="shared" si="43"/>
        <v>6</v>
      </c>
      <c r="O219" s="3">
        <f t="shared" si="44"/>
        <v>5</v>
      </c>
      <c r="P219" s="3"/>
      <c r="Q219" s="3">
        <v>53.927999999999997</v>
      </c>
      <c r="R219" s="3"/>
    </row>
    <row r="220" ht="14.25">
      <c r="A220">
        <v>1380414</v>
      </c>
      <c r="B220">
        <v>6.6699999999999999</v>
      </c>
      <c r="C220">
        <v>72.689999999999998</v>
      </c>
      <c r="D220">
        <v>79</v>
      </c>
      <c r="E220">
        <v>37.100000000000001</v>
      </c>
      <c r="F220" s="3">
        <f t="shared" si="36"/>
        <v>23</v>
      </c>
      <c r="G220" s="3">
        <f t="shared" si="37"/>
        <v>49.700000000000003</v>
      </c>
      <c r="H220" s="3">
        <v>37.5</v>
      </c>
      <c r="I220" s="3">
        <f t="shared" si="38"/>
        <v>21.899999999999999</v>
      </c>
      <c r="J220" s="3">
        <f t="shared" si="39"/>
        <v>0.39999999999999858</v>
      </c>
      <c r="K220" s="3">
        <f t="shared" si="40"/>
        <v>7.1999999999999744</v>
      </c>
      <c r="L220" s="3">
        <f t="shared" si="41"/>
        <v>6.3999999999999773</v>
      </c>
      <c r="M220" s="3">
        <f t="shared" si="42"/>
        <v>5.5999999999999801</v>
      </c>
      <c r="N220" s="3">
        <f t="shared" si="43"/>
        <v>4.7999999999999829</v>
      </c>
      <c r="O220" s="3">
        <f t="shared" si="44"/>
        <v>3.9999999999999858</v>
      </c>
      <c r="P220" s="3"/>
      <c r="Q220" s="3">
        <v>53.984000000000002</v>
      </c>
      <c r="R220" s="3"/>
    </row>
    <row r="221" ht="14.25">
      <c r="A221">
        <v>1386718</v>
      </c>
      <c r="B221">
        <v>8</v>
      </c>
      <c r="C221">
        <v>72.75</v>
      </c>
      <c r="D221">
        <v>80</v>
      </c>
      <c r="E221">
        <v>37.100000000000001</v>
      </c>
      <c r="F221" s="3">
        <f t="shared" si="36"/>
        <v>23.100000000000001</v>
      </c>
      <c r="G221" s="3">
        <f t="shared" si="37"/>
        <v>50.299999999999997</v>
      </c>
      <c r="H221" s="3">
        <v>37.5</v>
      </c>
      <c r="I221" s="3">
        <f t="shared" si="38"/>
        <v>22.100000000000001</v>
      </c>
      <c r="J221" s="3">
        <f t="shared" si="39"/>
        <v>0.39999999999999858</v>
      </c>
      <c r="K221" s="3">
        <f t="shared" si="40"/>
        <v>7.1999999999999744</v>
      </c>
      <c r="L221" s="3">
        <f t="shared" si="41"/>
        <v>6.3999999999999773</v>
      </c>
      <c r="M221" s="3">
        <f t="shared" si="42"/>
        <v>5.5999999999999801</v>
      </c>
      <c r="N221" s="3">
        <f t="shared" si="43"/>
        <v>4.7999999999999829</v>
      </c>
      <c r="O221" s="3">
        <f t="shared" si="44"/>
        <v>3.9999999999999858</v>
      </c>
      <c r="P221" s="3"/>
      <c r="Q221" s="3">
        <v>54.026000000000003</v>
      </c>
      <c r="R221" s="3"/>
    </row>
    <row r="222" ht="14.25">
      <c r="A222">
        <v>1393020</v>
      </c>
      <c r="B222">
        <v>8.6699999999999999</v>
      </c>
      <c r="C222">
        <v>72.810000000000002</v>
      </c>
      <c r="D222">
        <v>81</v>
      </c>
      <c r="E222">
        <v>37</v>
      </c>
      <c r="F222" s="3">
        <f t="shared" si="36"/>
        <v>23.199999999999999</v>
      </c>
      <c r="G222" s="3">
        <f t="shared" si="37"/>
        <v>50.899999999999999</v>
      </c>
      <c r="H222" s="3">
        <v>37.5</v>
      </c>
      <c r="I222" s="3">
        <f t="shared" si="38"/>
        <v>22.399999999999999</v>
      </c>
      <c r="J222" s="3">
        <f t="shared" si="39"/>
        <v>0.5</v>
      </c>
      <c r="K222" s="3">
        <f t="shared" si="40"/>
        <v>9</v>
      </c>
      <c r="L222" s="3">
        <f t="shared" si="41"/>
        <v>8</v>
      </c>
      <c r="M222" s="3">
        <f t="shared" si="42"/>
        <v>7</v>
      </c>
      <c r="N222" s="3">
        <f t="shared" si="43"/>
        <v>6</v>
      </c>
      <c r="O222" s="3">
        <f t="shared" si="44"/>
        <v>5</v>
      </c>
      <c r="P222" s="3"/>
      <c r="Q222" s="3">
        <v>54.067999999999998</v>
      </c>
      <c r="R222" s="3"/>
    </row>
    <row r="223" ht="14.25">
      <c r="A223">
        <v>1399323</v>
      </c>
      <c r="B223">
        <v>6</v>
      </c>
      <c r="C223">
        <v>72.849999999999994</v>
      </c>
      <c r="D223">
        <v>78</v>
      </c>
      <c r="E223">
        <v>37.100000000000001</v>
      </c>
      <c r="F223" s="3">
        <f t="shared" si="36"/>
        <v>23.300000000000001</v>
      </c>
      <c r="G223" s="3">
        <f t="shared" si="37"/>
        <v>49.100000000000001</v>
      </c>
      <c r="H223" s="3">
        <v>37.5</v>
      </c>
      <c r="I223" s="3">
        <f t="shared" si="38"/>
        <v>21.600000000000001</v>
      </c>
      <c r="J223" s="3">
        <f t="shared" si="39"/>
        <v>0.39999999999999858</v>
      </c>
      <c r="K223" s="3">
        <f t="shared" si="40"/>
        <v>7.1999999999999744</v>
      </c>
      <c r="L223" s="3">
        <f t="shared" si="41"/>
        <v>6.3999999999999773</v>
      </c>
      <c r="M223" s="3">
        <f t="shared" si="42"/>
        <v>5.5999999999999801</v>
      </c>
      <c r="N223" s="3">
        <f t="shared" si="43"/>
        <v>4.7999999999999829</v>
      </c>
      <c r="O223" s="3">
        <f t="shared" si="44"/>
        <v>3.9999999999999858</v>
      </c>
      <c r="P223" s="3"/>
      <c r="Q223" s="3">
        <v>54.109999999999999</v>
      </c>
      <c r="R223" s="3"/>
    </row>
    <row r="224" ht="14.25">
      <c r="A224">
        <v>1405626</v>
      </c>
      <c r="B224">
        <v>7.3300000000000001</v>
      </c>
      <c r="C224">
        <v>72.900000000000006</v>
      </c>
      <c r="D224">
        <v>80</v>
      </c>
      <c r="E224">
        <v>37.200000000000003</v>
      </c>
      <c r="F224" s="3">
        <f t="shared" si="36"/>
        <v>23.399999999999999</v>
      </c>
      <c r="G224" s="3">
        <f t="shared" si="37"/>
        <v>50.299999999999997</v>
      </c>
      <c r="H224" s="3">
        <v>37.5</v>
      </c>
      <c r="I224" s="3">
        <f t="shared" si="38"/>
        <v>22.100000000000001</v>
      </c>
      <c r="J224" s="3">
        <f t="shared" si="39"/>
        <v>0.29999999999999716</v>
      </c>
      <c r="K224" s="3">
        <f t="shared" si="40"/>
        <v>5.3999999999999488</v>
      </c>
      <c r="L224" s="3">
        <f t="shared" si="41"/>
        <v>4.7999999999999545</v>
      </c>
      <c r="M224" s="3">
        <f t="shared" si="42"/>
        <v>4.1999999999999602</v>
      </c>
      <c r="N224" s="3">
        <f t="shared" si="43"/>
        <v>3.5999999999999659</v>
      </c>
      <c r="O224" s="3">
        <f t="shared" si="44"/>
        <v>2.9999999999999716</v>
      </c>
      <c r="P224" s="3"/>
      <c r="Q224" s="3">
        <v>54.152000000000001</v>
      </c>
      <c r="R224" s="3"/>
    </row>
    <row r="225" ht="14.25">
      <c r="A225">
        <v>1411930</v>
      </c>
      <c r="B225">
        <v>7.3300000000000001</v>
      </c>
      <c r="C225">
        <v>72.950000000000003</v>
      </c>
      <c r="D225">
        <v>80</v>
      </c>
      <c r="E225">
        <v>37.200000000000003</v>
      </c>
      <c r="F225" s="3">
        <f t="shared" si="36"/>
        <v>23.5</v>
      </c>
      <c r="G225" s="3">
        <f t="shared" si="37"/>
        <v>50.299999999999997</v>
      </c>
      <c r="H225" s="3">
        <v>37.5</v>
      </c>
      <c r="I225" s="3">
        <f t="shared" si="38"/>
        <v>22.100000000000001</v>
      </c>
      <c r="J225" s="3">
        <f t="shared" si="39"/>
        <v>0.29999999999999716</v>
      </c>
      <c r="K225" s="3">
        <f t="shared" si="40"/>
        <v>5.3999999999999488</v>
      </c>
      <c r="L225" s="3">
        <f t="shared" si="41"/>
        <v>4.7999999999999545</v>
      </c>
      <c r="M225" s="3">
        <f t="shared" si="42"/>
        <v>4.1999999999999602</v>
      </c>
      <c r="N225" s="3">
        <f t="shared" si="43"/>
        <v>3.5999999999999659</v>
      </c>
      <c r="O225" s="3">
        <f t="shared" si="44"/>
        <v>2.9999999999999716</v>
      </c>
      <c r="P225" s="3"/>
      <c r="Q225" s="3">
        <v>54.194000000000003</v>
      </c>
      <c r="R225" s="3"/>
    </row>
    <row r="226" ht="14.25">
      <c r="A226">
        <v>1418232</v>
      </c>
      <c r="B226">
        <v>4</v>
      </c>
      <c r="C226">
        <v>72.980000000000004</v>
      </c>
      <c r="D226">
        <v>76</v>
      </c>
      <c r="E226">
        <v>37.299999999999997</v>
      </c>
      <c r="F226" s="3">
        <f t="shared" si="36"/>
        <v>23.600000000000001</v>
      </c>
      <c r="G226" s="3">
        <f t="shared" si="37"/>
        <v>47.799999999999997</v>
      </c>
      <c r="H226" s="3">
        <v>37.5</v>
      </c>
      <c r="I226" s="3">
        <f t="shared" si="38"/>
        <v>21</v>
      </c>
      <c r="J226" s="3">
        <f t="shared" si="39"/>
        <v>0.20000000000000284</v>
      </c>
      <c r="K226" s="3">
        <f t="shared" si="40"/>
        <v>3.6000000000000512</v>
      </c>
      <c r="L226" s="3">
        <f t="shared" si="41"/>
        <v>3.2000000000000455</v>
      </c>
      <c r="M226" s="3">
        <f t="shared" si="42"/>
        <v>2.8000000000000398</v>
      </c>
      <c r="N226" s="3">
        <f t="shared" si="43"/>
        <v>2.4000000000000341</v>
      </c>
      <c r="O226" s="3">
        <f t="shared" si="44"/>
        <v>2.0000000000000284</v>
      </c>
      <c r="P226" s="3"/>
      <c r="Q226" s="3">
        <v>54.222000000000001</v>
      </c>
      <c r="R226" s="3"/>
    </row>
    <row r="227" ht="14.25">
      <c r="A227">
        <v>1424535</v>
      </c>
      <c r="B227">
        <v>6</v>
      </c>
      <c r="C227">
        <v>73.019999999999996</v>
      </c>
      <c r="D227">
        <v>79</v>
      </c>
      <c r="E227">
        <v>37.200000000000003</v>
      </c>
      <c r="F227" s="3">
        <f t="shared" si="36"/>
        <v>23.699999999999999</v>
      </c>
      <c r="G227" s="3">
        <f t="shared" si="37"/>
        <v>49.700000000000003</v>
      </c>
      <c r="H227" s="3">
        <v>37.5</v>
      </c>
      <c r="I227" s="3">
        <f t="shared" si="38"/>
        <v>21.899999999999999</v>
      </c>
      <c r="J227" s="3">
        <f t="shared" si="39"/>
        <v>0.29999999999999716</v>
      </c>
      <c r="K227" s="3">
        <f t="shared" si="40"/>
        <v>5.3999999999999488</v>
      </c>
      <c r="L227" s="3">
        <f t="shared" si="41"/>
        <v>4.7999999999999545</v>
      </c>
      <c r="M227" s="3">
        <f t="shared" si="42"/>
        <v>4.1999999999999602</v>
      </c>
      <c r="N227" s="3">
        <f t="shared" si="43"/>
        <v>3.5999999999999659</v>
      </c>
      <c r="O227" s="3">
        <f t="shared" si="44"/>
        <v>2.9999999999999716</v>
      </c>
      <c r="P227" s="3"/>
      <c r="Q227" s="3">
        <v>54.264000000000003</v>
      </c>
      <c r="R227" s="3"/>
    </row>
    <row r="228" ht="14.25">
      <c r="A228">
        <v>1430838</v>
      </c>
      <c r="B228">
        <v>6</v>
      </c>
      <c r="C228">
        <v>73.069999999999993</v>
      </c>
      <c r="D228">
        <v>79</v>
      </c>
      <c r="E228">
        <v>37.200000000000003</v>
      </c>
      <c r="F228" s="3">
        <f t="shared" ref="F228:F291" si="45">ROUND(A228/60000,1)</f>
        <v>23.800000000000001</v>
      </c>
      <c r="G228" s="3">
        <f t="shared" ref="G228:G291" si="46">ROUND((D228/159)*100,1)</f>
        <v>49.700000000000003</v>
      </c>
      <c r="H228" s="3">
        <v>37.5</v>
      </c>
      <c r="I228" s="3">
        <f t="shared" ref="I228:I291" si="47">ROUND((D228/159)*44,1)</f>
        <v>21.899999999999999</v>
      </c>
      <c r="J228" s="3">
        <f t="shared" ref="J228:J291" si="48">37.5-E228</f>
        <v>0.29999999999999716</v>
      </c>
      <c r="K228" s="3">
        <f t="shared" ref="K228:K291" si="49">J228*18</f>
        <v>5.3999999999999488</v>
      </c>
      <c r="L228" s="3">
        <f t="shared" ref="L228:L291" si="50">J228*16</f>
        <v>4.7999999999999545</v>
      </c>
      <c r="M228" s="3">
        <f t="shared" ref="M228:M291" si="51">J228*14</f>
        <v>4.1999999999999602</v>
      </c>
      <c r="N228" s="3">
        <f t="shared" ref="N228:N291" si="52">J228*12</f>
        <v>3.5999999999999659</v>
      </c>
      <c r="O228" s="3">
        <f t="shared" ref="O228:O291" si="53">J228*10</f>
        <v>2.9999999999999716</v>
      </c>
      <c r="P228" s="3"/>
      <c r="Q228" s="3">
        <v>54.292000000000002</v>
      </c>
      <c r="R228" s="3"/>
    </row>
    <row r="229" ht="14.25">
      <c r="A229">
        <v>1437142</v>
      </c>
      <c r="B229">
        <v>6.6699999999999999</v>
      </c>
      <c r="C229">
        <v>73.109999999999999</v>
      </c>
      <c r="D229">
        <v>79</v>
      </c>
      <c r="E229">
        <v>37.100000000000001</v>
      </c>
      <c r="F229" s="3">
        <f t="shared" si="45"/>
        <v>24</v>
      </c>
      <c r="G229" s="3">
        <f t="shared" si="46"/>
        <v>49.700000000000003</v>
      </c>
      <c r="H229" s="3">
        <v>37.5</v>
      </c>
      <c r="I229" s="3">
        <f t="shared" si="47"/>
        <v>21.899999999999999</v>
      </c>
      <c r="J229" s="3">
        <f t="shared" si="48"/>
        <v>0.39999999999999858</v>
      </c>
      <c r="K229" s="3">
        <f t="shared" si="49"/>
        <v>7.1999999999999744</v>
      </c>
      <c r="L229" s="3">
        <f t="shared" si="50"/>
        <v>6.3999999999999773</v>
      </c>
      <c r="M229" s="3">
        <f t="shared" si="51"/>
        <v>5.5999999999999801</v>
      </c>
      <c r="N229" s="3">
        <f t="shared" si="52"/>
        <v>4.7999999999999829</v>
      </c>
      <c r="O229" s="3">
        <f t="shared" si="53"/>
        <v>3.9999999999999858</v>
      </c>
      <c r="P229" s="3"/>
      <c r="Q229" s="3">
        <v>54.305999999999997</v>
      </c>
      <c r="R229" s="3"/>
    </row>
    <row r="230" ht="14.25">
      <c r="A230">
        <v>1443444</v>
      </c>
      <c r="B230">
        <v>6</v>
      </c>
      <c r="C230">
        <v>73.150000000000006</v>
      </c>
      <c r="D230">
        <v>79</v>
      </c>
      <c r="E230">
        <v>37.200000000000003</v>
      </c>
      <c r="F230" s="3">
        <f t="shared" si="45"/>
        <v>24.100000000000001</v>
      </c>
      <c r="G230" s="3">
        <f t="shared" si="46"/>
        <v>49.700000000000003</v>
      </c>
      <c r="H230" s="3">
        <v>37.5</v>
      </c>
      <c r="I230" s="3">
        <f t="shared" si="47"/>
        <v>21.899999999999999</v>
      </c>
      <c r="J230" s="3">
        <f t="shared" si="48"/>
        <v>0.29999999999999716</v>
      </c>
      <c r="K230" s="3">
        <f t="shared" si="49"/>
        <v>5.3999999999999488</v>
      </c>
      <c r="L230" s="3">
        <f t="shared" si="50"/>
        <v>4.7999999999999545</v>
      </c>
      <c r="M230" s="3">
        <f t="shared" si="51"/>
        <v>4.1999999999999602</v>
      </c>
      <c r="N230" s="3">
        <f t="shared" si="52"/>
        <v>3.5999999999999659</v>
      </c>
      <c r="O230" s="3">
        <f t="shared" si="53"/>
        <v>2.9999999999999716</v>
      </c>
      <c r="P230" s="3"/>
      <c r="Q230" s="3">
        <v>54.347999999999999</v>
      </c>
      <c r="R230" s="3"/>
    </row>
    <row r="231" ht="14.25">
      <c r="A231">
        <v>1449748</v>
      </c>
      <c r="B231">
        <v>4.6699999999999999</v>
      </c>
      <c r="C231">
        <v>73.189999999999998</v>
      </c>
      <c r="D231">
        <v>77</v>
      </c>
      <c r="E231">
        <v>37.399999999999999</v>
      </c>
      <c r="F231" s="3">
        <f t="shared" si="45"/>
        <v>24.199999999999999</v>
      </c>
      <c r="G231" s="3">
        <f t="shared" si="46"/>
        <v>48.399999999999999</v>
      </c>
      <c r="H231" s="3">
        <v>37.5</v>
      </c>
      <c r="I231" s="3">
        <f t="shared" si="47"/>
        <v>21.300000000000001</v>
      </c>
      <c r="J231" s="3">
        <f t="shared" si="48"/>
        <v>0.10000000000000142</v>
      </c>
      <c r="K231" s="3">
        <f t="shared" si="49"/>
        <v>1.8000000000000256</v>
      </c>
      <c r="L231" s="3">
        <f t="shared" si="50"/>
        <v>1.6000000000000227</v>
      </c>
      <c r="M231" s="3">
        <f t="shared" si="51"/>
        <v>1.4000000000000199</v>
      </c>
      <c r="N231" s="3">
        <f t="shared" si="52"/>
        <v>1.2000000000000171</v>
      </c>
      <c r="O231" s="3">
        <f t="shared" si="53"/>
        <v>1.0000000000000142</v>
      </c>
      <c r="P231" s="3"/>
      <c r="Q231" s="3">
        <v>54.347999999999999</v>
      </c>
      <c r="R231" s="3"/>
    </row>
    <row r="232" ht="14.25">
      <c r="A232">
        <v>1456052</v>
      </c>
      <c r="B232">
        <v>4</v>
      </c>
      <c r="C232">
        <v>73.219999999999999</v>
      </c>
      <c r="D232">
        <v>77</v>
      </c>
      <c r="E232">
        <v>37.200000000000003</v>
      </c>
      <c r="F232" s="3">
        <f t="shared" si="45"/>
        <v>24.300000000000001</v>
      </c>
      <c r="G232" s="3">
        <f t="shared" si="46"/>
        <v>48.399999999999999</v>
      </c>
      <c r="H232" s="3">
        <v>37.5</v>
      </c>
      <c r="I232" s="3">
        <f t="shared" si="47"/>
        <v>21.300000000000001</v>
      </c>
      <c r="J232" s="3">
        <f t="shared" si="48"/>
        <v>0.29999999999999716</v>
      </c>
      <c r="K232" s="3">
        <f t="shared" si="49"/>
        <v>5.3999999999999488</v>
      </c>
      <c r="L232" s="3">
        <f t="shared" si="50"/>
        <v>4.7999999999999545</v>
      </c>
      <c r="M232" s="3">
        <f t="shared" si="51"/>
        <v>4.1999999999999602</v>
      </c>
      <c r="N232" s="3">
        <f t="shared" si="52"/>
        <v>3.5999999999999659</v>
      </c>
      <c r="O232" s="3">
        <f t="shared" si="53"/>
        <v>2.9999999999999716</v>
      </c>
      <c r="P232" s="3"/>
      <c r="Q232" s="3">
        <v>54.375999999999998</v>
      </c>
      <c r="R232" s="3"/>
    </row>
    <row r="233" ht="14.25">
      <c r="A233">
        <v>1462355</v>
      </c>
      <c r="B233">
        <v>6</v>
      </c>
      <c r="C233">
        <v>73.260000000000005</v>
      </c>
      <c r="D233">
        <v>79</v>
      </c>
      <c r="E233">
        <v>37.299999999999997</v>
      </c>
      <c r="F233" s="3">
        <f t="shared" si="45"/>
        <v>24.399999999999999</v>
      </c>
      <c r="G233" s="3">
        <f t="shared" si="46"/>
        <v>49.700000000000003</v>
      </c>
      <c r="H233" s="3">
        <v>37.5</v>
      </c>
      <c r="I233" s="3">
        <f t="shared" si="47"/>
        <v>21.899999999999999</v>
      </c>
      <c r="J233" s="3">
        <f t="shared" si="48"/>
        <v>0.20000000000000284</v>
      </c>
      <c r="K233" s="3">
        <f t="shared" si="49"/>
        <v>3.6000000000000512</v>
      </c>
      <c r="L233" s="3">
        <f t="shared" si="50"/>
        <v>3.2000000000000455</v>
      </c>
      <c r="M233" s="3">
        <f t="shared" si="51"/>
        <v>2.8000000000000398</v>
      </c>
      <c r="N233" s="3">
        <f t="shared" si="52"/>
        <v>2.4000000000000341</v>
      </c>
      <c r="O233" s="3">
        <f t="shared" si="53"/>
        <v>2.0000000000000284</v>
      </c>
      <c r="P233" s="3"/>
      <c r="Q233" s="3">
        <v>54.362000000000002</v>
      </c>
      <c r="R233" s="3"/>
    </row>
    <row r="234" ht="14.25">
      <c r="A234">
        <v>1468659</v>
      </c>
      <c r="B234">
        <v>5.3300000000000001</v>
      </c>
      <c r="C234">
        <v>73.290000000000006</v>
      </c>
      <c r="D234">
        <v>78</v>
      </c>
      <c r="E234">
        <v>37.200000000000003</v>
      </c>
      <c r="F234" s="3">
        <f t="shared" si="45"/>
        <v>24.5</v>
      </c>
      <c r="G234" s="3">
        <f t="shared" si="46"/>
        <v>49.100000000000001</v>
      </c>
      <c r="H234" s="3">
        <v>37.5</v>
      </c>
      <c r="I234" s="3">
        <f t="shared" si="47"/>
        <v>21.600000000000001</v>
      </c>
      <c r="J234" s="3">
        <f t="shared" si="48"/>
        <v>0.29999999999999716</v>
      </c>
      <c r="K234" s="3">
        <f t="shared" si="49"/>
        <v>5.3999999999999488</v>
      </c>
      <c r="L234" s="3">
        <f t="shared" si="50"/>
        <v>4.7999999999999545</v>
      </c>
      <c r="M234" s="3">
        <f t="shared" si="51"/>
        <v>4.1999999999999602</v>
      </c>
      <c r="N234" s="3">
        <f t="shared" si="52"/>
        <v>3.5999999999999659</v>
      </c>
      <c r="O234" s="3">
        <f t="shared" si="53"/>
        <v>2.9999999999999716</v>
      </c>
      <c r="P234" s="3"/>
      <c r="Q234" s="3">
        <v>54.375999999999998</v>
      </c>
      <c r="R234" s="3"/>
    </row>
    <row r="235" ht="14.25">
      <c r="A235">
        <v>1474962</v>
      </c>
      <c r="B235">
        <v>6</v>
      </c>
      <c r="C235">
        <v>73.340000000000003</v>
      </c>
      <c r="D235">
        <v>79</v>
      </c>
      <c r="E235">
        <v>37.100000000000001</v>
      </c>
      <c r="F235" s="3">
        <f t="shared" si="45"/>
        <v>24.600000000000001</v>
      </c>
      <c r="G235" s="3">
        <f t="shared" si="46"/>
        <v>49.700000000000003</v>
      </c>
      <c r="H235" s="3">
        <v>37.5</v>
      </c>
      <c r="I235" s="3">
        <f t="shared" si="47"/>
        <v>21.899999999999999</v>
      </c>
      <c r="J235" s="3">
        <f t="shared" si="48"/>
        <v>0.39999999999999858</v>
      </c>
      <c r="K235" s="3">
        <f t="shared" si="49"/>
        <v>7.1999999999999744</v>
      </c>
      <c r="L235" s="3">
        <f t="shared" si="50"/>
        <v>6.3999999999999773</v>
      </c>
      <c r="M235" s="3">
        <f t="shared" si="51"/>
        <v>5.5999999999999801</v>
      </c>
      <c r="N235" s="3">
        <f t="shared" si="52"/>
        <v>4.7999999999999829</v>
      </c>
      <c r="O235" s="3">
        <f t="shared" si="53"/>
        <v>3.9999999999999858</v>
      </c>
      <c r="P235" s="3"/>
      <c r="Q235" s="3">
        <v>54.375999999999998</v>
      </c>
      <c r="R235" s="3"/>
    </row>
    <row r="236" ht="14.25">
      <c r="A236">
        <v>1481266</v>
      </c>
      <c r="B236">
        <v>6</v>
      </c>
      <c r="C236">
        <v>73.379999999999995</v>
      </c>
      <c r="D236">
        <v>79</v>
      </c>
      <c r="E236">
        <v>37.299999999999997</v>
      </c>
      <c r="F236" s="3">
        <f t="shared" si="45"/>
        <v>24.699999999999999</v>
      </c>
      <c r="G236" s="3">
        <f t="shared" si="46"/>
        <v>49.700000000000003</v>
      </c>
      <c r="H236" s="3">
        <v>37.5</v>
      </c>
      <c r="I236" s="3">
        <f t="shared" si="47"/>
        <v>21.899999999999999</v>
      </c>
      <c r="J236" s="3">
        <f t="shared" si="48"/>
        <v>0.20000000000000284</v>
      </c>
      <c r="K236" s="3">
        <f t="shared" si="49"/>
        <v>3.6000000000000512</v>
      </c>
      <c r="L236" s="3">
        <f t="shared" si="50"/>
        <v>3.2000000000000455</v>
      </c>
      <c r="M236" s="3">
        <f t="shared" si="51"/>
        <v>2.8000000000000398</v>
      </c>
      <c r="N236" s="3">
        <f t="shared" si="52"/>
        <v>2.4000000000000341</v>
      </c>
      <c r="O236" s="3">
        <f t="shared" si="53"/>
        <v>2.0000000000000284</v>
      </c>
      <c r="P236" s="3"/>
      <c r="Q236" s="3">
        <v>54.390000000000001</v>
      </c>
      <c r="R236" s="3"/>
    </row>
    <row r="237" ht="14.25">
      <c r="A237">
        <v>1487568</v>
      </c>
      <c r="B237">
        <v>4.6699999999999999</v>
      </c>
      <c r="C237">
        <v>73.409999999999997</v>
      </c>
      <c r="D237">
        <v>78</v>
      </c>
      <c r="E237">
        <v>37.299999999999997</v>
      </c>
      <c r="F237" s="3">
        <f t="shared" si="45"/>
        <v>24.800000000000001</v>
      </c>
      <c r="G237" s="3">
        <f t="shared" si="46"/>
        <v>49.100000000000001</v>
      </c>
      <c r="H237" s="3">
        <v>37.5</v>
      </c>
      <c r="I237" s="3">
        <f t="shared" si="47"/>
        <v>21.600000000000001</v>
      </c>
      <c r="J237" s="3">
        <f t="shared" si="48"/>
        <v>0.20000000000000284</v>
      </c>
      <c r="K237" s="3">
        <f t="shared" si="49"/>
        <v>3.6000000000000512</v>
      </c>
      <c r="L237" s="3">
        <f t="shared" si="50"/>
        <v>3.2000000000000455</v>
      </c>
      <c r="M237" s="3">
        <f t="shared" si="51"/>
        <v>2.8000000000000398</v>
      </c>
      <c r="N237" s="3">
        <f t="shared" si="52"/>
        <v>2.4000000000000341</v>
      </c>
      <c r="O237" s="3">
        <f t="shared" si="53"/>
        <v>2.0000000000000284</v>
      </c>
      <c r="P237" s="3"/>
      <c r="Q237" s="3">
        <v>54.417999999999999</v>
      </c>
      <c r="R237" s="3"/>
    </row>
    <row r="238" ht="14.25">
      <c r="A238">
        <v>1493871</v>
      </c>
      <c r="B238">
        <v>4.6699999999999999</v>
      </c>
      <c r="C238">
        <v>73.439999999999998</v>
      </c>
      <c r="D238">
        <v>78</v>
      </c>
      <c r="E238">
        <v>37.299999999999997</v>
      </c>
      <c r="F238" s="3">
        <f t="shared" si="45"/>
        <v>24.899999999999999</v>
      </c>
      <c r="G238" s="3">
        <f t="shared" si="46"/>
        <v>49.100000000000001</v>
      </c>
      <c r="H238" s="3">
        <v>37.5</v>
      </c>
      <c r="I238" s="3">
        <f t="shared" si="47"/>
        <v>21.600000000000001</v>
      </c>
      <c r="J238" s="3">
        <f t="shared" si="48"/>
        <v>0.20000000000000284</v>
      </c>
      <c r="K238" s="3">
        <f t="shared" si="49"/>
        <v>3.6000000000000512</v>
      </c>
      <c r="L238" s="3">
        <f t="shared" si="50"/>
        <v>3.2000000000000455</v>
      </c>
      <c r="M238" s="3">
        <f t="shared" si="51"/>
        <v>2.8000000000000398</v>
      </c>
      <c r="N238" s="3">
        <f t="shared" si="52"/>
        <v>2.4000000000000341</v>
      </c>
      <c r="O238" s="3">
        <f t="shared" si="53"/>
        <v>2.0000000000000284</v>
      </c>
      <c r="P238" s="3"/>
      <c r="Q238" s="3">
        <v>54.432000000000002</v>
      </c>
      <c r="R238" s="3"/>
    </row>
    <row r="239" ht="14.25">
      <c r="A239">
        <v>1500174</v>
      </c>
      <c r="B239">
        <v>6</v>
      </c>
      <c r="C239">
        <v>73.489999999999995</v>
      </c>
      <c r="D239">
        <v>79</v>
      </c>
      <c r="E239">
        <v>37.200000000000003</v>
      </c>
      <c r="F239" s="3">
        <f t="shared" si="45"/>
        <v>25</v>
      </c>
      <c r="G239" s="3">
        <f t="shared" si="46"/>
        <v>49.700000000000003</v>
      </c>
      <c r="H239" s="3">
        <v>37.5</v>
      </c>
      <c r="I239" s="3">
        <f t="shared" si="47"/>
        <v>21.899999999999999</v>
      </c>
      <c r="J239" s="3">
        <f t="shared" si="48"/>
        <v>0.29999999999999716</v>
      </c>
      <c r="K239" s="3">
        <f t="shared" si="49"/>
        <v>5.3999999999999488</v>
      </c>
      <c r="L239" s="3">
        <f t="shared" si="50"/>
        <v>4.7999999999999545</v>
      </c>
      <c r="M239" s="3">
        <f t="shared" si="51"/>
        <v>4.1999999999999602</v>
      </c>
      <c r="N239" s="3">
        <f t="shared" si="52"/>
        <v>3.5999999999999659</v>
      </c>
      <c r="O239" s="3">
        <f t="shared" si="53"/>
        <v>2.9999999999999716</v>
      </c>
      <c r="P239" s="3"/>
      <c r="Q239" s="3">
        <v>54.404000000000003</v>
      </c>
      <c r="R239" s="3"/>
    </row>
    <row r="240" ht="14.25">
      <c r="A240">
        <v>1506478</v>
      </c>
      <c r="B240">
        <v>2</v>
      </c>
      <c r="C240">
        <v>73.5</v>
      </c>
      <c r="D240">
        <v>75</v>
      </c>
      <c r="E240">
        <v>37.399999999999999</v>
      </c>
      <c r="F240" s="3">
        <f t="shared" si="45"/>
        <v>25.100000000000001</v>
      </c>
      <c r="G240" s="3">
        <f t="shared" si="46"/>
        <v>47.200000000000003</v>
      </c>
      <c r="H240" s="3">
        <v>37.5</v>
      </c>
      <c r="I240" s="3">
        <f t="shared" si="47"/>
        <v>20.800000000000001</v>
      </c>
      <c r="J240" s="3">
        <f t="shared" si="48"/>
        <v>0.10000000000000142</v>
      </c>
      <c r="K240" s="3">
        <f t="shared" si="49"/>
        <v>1.8000000000000256</v>
      </c>
      <c r="L240" s="3">
        <f t="shared" si="50"/>
        <v>1.6000000000000227</v>
      </c>
      <c r="M240" s="3">
        <f t="shared" si="51"/>
        <v>1.4000000000000199</v>
      </c>
      <c r="N240" s="3">
        <f t="shared" si="52"/>
        <v>1.2000000000000171</v>
      </c>
      <c r="O240" s="3">
        <f t="shared" si="53"/>
        <v>1.0000000000000142</v>
      </c>
      <c r="P240" s="3"/>
      <c r="Q240" s="3">
        <v>54.404000000000003</v>
      </c>
      <c r="R240" s="3"/>
    </row>
    <row r="241" ht="14.25">
      <c r="A241">
        <v>1512780</v>
      </c>
      <c r="B241">
        <v>4.6699999999999999</v>
      </c>
      <c r="C241">
        <v>73.530000000000001</v>
      </c>
      <c r="D241">
        <v>78</v>
      </c>
      <c r="E241">
        <v>37.299999999999997</v>
      </c>
      <c r="F241" s="3">
        <f t="shared" si="45"/>
        <v>25.199999999999999</v>
      </c>
      <c r="G241" s="3">
        <f t="shared" si="46"/>
        <v>49.100000000000001</v>
      </c>
      <c r="H241" s="3">
        <v>37.5</v>
      </c>
      <c r="I241" s="3">
        <f t="shared" si="47"/>
        <v>21.600000000000001</v>
      </c>
      <c r="J241" s="3">
        <f t="shared" si="48"/>
        <v>0.20000000000000284</v>
      </c>
      <c r="K241" s="3">
        <f t="shared" si="49"/>
        <v>3.6000000000000512</v>
      </c>
      <c r="L241" s="3">
        <f t="shared" si="50"/>
        <v>3.2000000000000455</v>
      </c>
      <c r="M241" s="3">
        <f t="shared" si="51"/>
        <v>2.8000000000000398</v>
      </c>
      <c r="N241" s="3">
        <f t="shared" si="52"/>
        <v>2.4000000000000341</v>
      </c>
      <c r="O241" s="3">
        <f t="shared" si="53"/>
        <v>2.0000000000000284</v>
      </c>
      <c r="P241" s="3"/>
      <c r="Q241" s="3">
        <v>54.404000000000003</v>
      </c>
      <c r="R241" s="3"/>
    </row>
    <row r="242" ht="14.25">
      <c r="A242">
        <v>1519083</v>
      </c>
      <c r="B242">
        <v>5.3300000000000001</v>
      </c>
      <c r="C242">
        <v>73.569999999999993</v>
      </c>
      <c r="D242">
        <v>78</v>
      </c>
      <c r="E242">
        <v>37</v>
      </c>
      <c r="F242" s="3">
        <f t="shared" si="45"/>
        <v>25.300000000000001</v>
      </c>
      <c r="G242" s="3">
        <f t="shared" si="46"/>
        <v>49.100000000000001</v>
      </c>
      <c r="H242" s="3">
        <v>37.5</v>
      </c>
      <c r="I242" s="3">
        <f t="shared" si="47"/>
        <v>21.600000000000001</v>
      </c>
      <c r="J242" s="3">
        <f t="shared" si="48"/>
        <v>0.5</v>
      </c>
      <c r="K242" s="3">
        <f t="shared" si="49"/>
        <v>9</v>
      </c>
      <c r="L242" s="3">
        <f t="shared" si="50"/>
        <v>8</v>
      </c>
      <c r="M242" s="3">
        <f t="shared" si="51"/>
        <v>7</v>
      </c>
      <c r="N242" s="3">
        <f t="shared" si="52"/>
        <v>6</v>
      </c>
      <c r="O242" s="3">
        <f t="shared" si="53"/>
        <v>5</v>
      </c>
      <c r="P242" s="3"/>
      <c r="Q242" s="3">
        <v>54.417999999999999</v>
      </c>
      <c r="R242" s="3"/>
    </row>
    <row r="243" ht="14.25">
      <c r="A243">
        <v>1525386</v>
      </c>
      <c r="B243">
        <v>3.3300000000000001</v>
      </c>
      <c r="C243">
        <v>73.590000000000003</v>
      </c>
      <c r="D243">
        <v>76</v>
      </c>
      <c r="E243">
        <v>37.299999999999997</v>
      </c>
      <c r="F243" s="3">
        <f t="shared" si="45"/>
        <v>25.399999999999999</v>
      </c>
      <c r="G243" s="3">
        <f t="shared" si="46"/>
        <v>47.799999999999997</v>
      </c>
      <c r="H243" s="3">
        <v>37.5</v>
      </c>
      <c r="I243" s="3">
        <f t="shared" si="47"/>
        <v>21</v>
      </c>
      <c r="J243" s="3">
        <f t="shared" si="48"/>
        <v>0.20000000000000284</v>
      </c>
      <c r="K243" s="3">
        <f t="shared" si="49"/>
        <v>3.6000000000000512</v>
      </c>
      <c r="L243" s="3">
        <f t="shared" si="50"/>
        <v>3.2000000000000455</v>
      </c>
      <c r="M243" s="3">
        <f t="shared" si="51"/>
        <v>2.8000000000000398</v>
      </c>
      <c r="N243" s="3">
        <f t="shared" si="52"/>
        <v>2.4000000000000341</v>
      </c>
      <c r="O243" s="3">
        <f t="shared" si="53"/>
        <v>2.0000000000000284</v>
      </c>
      <c r="P243" s="3"/>
      <c r="Q243" s="3">
        <v>54.404000000000003</v>
      </c>
      <c r="R243" s="3"/>
    </row>
    <row r="244" ht="14.25">
      <c r="A244">
        <v>1531689</v>
      </c>
      <c r="B244">
        <v>4</v>
      </c>
      <c r="C244">
        <v>73.620000000000005</v>
      </c>
      <c r="D244">
        <v>77</v>
      </c>
      <c r="E244">
        <v>37.299999999999997</v>
      </c>
      <c r="F244" s="3">
        <f t="shared" si="45"/>
        <v>25.5</v>
      </c>
      <c r="G244" s="3">
        <f t="shared" si="46"/>
        <v>48.399999999999999</v>
      </c>
      <c r="H244" s="3">
        <v>37.5</v>
      </c>
      <c r="I244" s="3">
        <f t="shared" si="47"/>
        <v>21.300000000000001</v>
      </c>
      <c r="J244" s="3">
        <f t="shared" si="48"/>
        <v>0.20000000000000284</v>
      </c>
      <c r="K244" s="3">
        <f t="shared" si="49"/>
        <v>3.6000000000000512</v>
      </c>
      <c r="L244" s="3">
        <f t="shared" si="50"/>
        <v>3.2000000000000455</v>
      </c>
      <c r="M244" s="3">
        <f t="shared" si="51"/>
        <v>2.8000000000000398</v>
      </c>
      <c r="N244" s="3">
        <f t="shared" si="52"/>
        <v>2.4000000000000341</v>
      </c>
      <c r="O244" s="3">
        <f t="shared" si="53"/>
        <v>2.0000000000000284</v>
      </c>
      <c r="P244" s="3"/>
      <c r="Q244" s="3">
        <v>54.390000000000001</v>
      </c>
      <c r="R244" s="3"/>
    </row>
    <row r="245" ht="14.25">
      <c r="A245">
        <v>1537993</v>
      </c>
      <c r="B245">
        <v>4</v>
      </c>
      <c r="C245">
        <v>73.650000000000006</v>
      </c>
      <c r="D245">
        <v>77</v>
      </c>
      <c r="E245">
        <v>37.399999999999999</v>
      </c>
      <c r="F245" s="3">
        <f t="shared" si="45"/>
        <v>25.600000000000001</v>
      </c>
      <c r="G245" s="3">
        <f t="shared" si="46"/>
        <v>48.399999999999999</v>
      </c>
      <c r="H245" s="3">
        <v>37.5</v>
      </c>
      <c r="I245" s="3">
        <f t="shared" si="47"/>
        <v>21.300000000000001</v>
      </c>
      <c r="J245" s="3">
        <f t="shared" si="48"/>
        <v>0.10000000000000142</v>
      </c>
      <c r="K245" s="3">
        <f t="shared" si="49"/>
        <v>1.8000000000000256</v>
      </c>
      <c r="L245" s="3">
        <f t="shared" si="50"/>
        <v>1.6000000000000227</v>
      </c>
      <c r="M245" s="3">
        <f t="shared" si="51"/>
        <v>1.4000000000000199</v>
      </c>
      <c r="N245" s="3">
        <f t="shared" si="52"/>
        <v>1.2000000000000171</v>
      </c>
      <c r="O245" s="3">
        <f t="shared" si="53"/>
        <v>1.0000000000000142</v>
      </c>
      <c r="P245" s="3"/>
      <c r="Q245" s="3">
        <v>54.362000000000002</v>
      </c>
      <c r="R245" s="3"/>
    </row>
    <row r="246" ht="14.25">
      <c r="A246">
        <v>1544297</v>
      </c>
      <c r="B246">
        <v>2</v>
      </c>
      <c r="C246">
        <v>73.659999999999997</v>
      </c>
      <c r="D246">
        <v>75</v>
      </c>
      <c r="E246">
        <v>37.399999999999999</v>
      </c>
      <c r="F246" s="3">
        <f t="shared" si="45"/>
        <v>25.699999999999999</v>
      </c>
      <c r="G246" s="3">
        <f t="shared" si="46"/>
        <v>47.200000000000003</v>
      </c>
      <c r="H246" s="3">
        <v>37.5</v>
      </c>
      <c r="I246" s="3">
        <f t="shared" si="47"/>
        <v>20.800000000000001</v>
      </c>
      <c r="J246" s="3">
        <f t="shared" si="48"/>
        <v>0.10000000000000142</v>
      </c>
      <c r="K246" s="3">
        <f t="shared" si="49"/>
        <v>1.8000000000000256</v>
      </c>
      <c r="L246" s="3">
        <f t="shared" si="50"/>
        <v>1.6000000000000227</v>
      </c>
      <c r="M246" s="3">
        <f t="shared" si="51"/>
        <v>1.4000000000000199</v>
      </c>
      <c r="N246" s="3">
        <f t="shared" si="52"/>
        <v>1.2000000000000171</v>
      </c>
      <c r="O246" s="3">
        <f t="shared" si="53"/>
        <v>1.0000000000000142</v>
      </c>
      <c r="P246" s="3"/>
      <c r="Q246" s="3">
        <v>54.375999999999998</v>
      </c>
      <c r="R246" s="3"/>
    </row>
    <row r="247" ht="14.25">
      <c r="A247">
        <v>1550601</v>
      </c>
      <c r="B247">
        <v>4.6699999999999999</v>
      </c>
      <c r="C247">
        <v>73.700000000000003</v>
      </c>
      <c r="D247">
        <v>78</v>
      </c>
      <c r="E247">
        <v>37.299999999999997</v>
      </c>
      <c r="F247" s="3">
        <f t="shared" si="45"/>
        <v>25.800000000000001</v>
      </c>
      <c r="G247" s="3">
        <f t="shared" si="46"/>
        <v>49.100000000000001</v>
      </c>
      <c r="H247" s="3">
        <v>37.5</v>
      </c>
      <c r="I247" s="3">
        <f t="shared" si="47"/>
        <v>21.600000000000001</v>
      </c>
      <c r="J247" s="3">
        <f t="shared" si="48"/>
        <v>0.20000000000000284</v>
      </c>
      <c r="K247" s="3">
        <f t="shared" si="49"/>
        <v>3.6000000000000512</v>
      </c>
      <c r="L247" s="3">
        <f t="shared" si="50"/>
        <v>3.2000000000000455</v>
      </c>
      <c r="M247" s="3">
        <f t="shared" si="51"/>
        <v>2.8000000000000398</v>
      </c>
      <c r="N247" s="3">
        <f t="shared" si="52"/>
        <v>2.4000000000000341</v>
      </c>
      <c r="O247" s="3">
        <f t="shared" si="53"/>
        <v>2.0000000000000284</v>
      </c>
      <c r="P247" s="3"/>
      <c r="Q247" s="3">
        <v>54.347999999999999</v>
      </c>
      <c r="R247" s="3"/>
    </row>
    <row r="248" ht="14.25">
      <c r="A248">
        <v>1556904</v>
      </c>
      <c r="B248">
        <v>1.3300000000000001</v>
      </c>
      <c r="C248">
        <v>73.709999999999994</v>
      </c>
      <c r="D248">
        <v>75</v>
      </c>
      <c r="E248">
        <v>37.299999999999997</v>
      </c>
      <c r="F248" s="3">
        <f t="shared" si="45"/>
        <v>25.899999999999999</v>
      </c>
      <c r="G248" s="3">
        <f t="shared" si="46"/>
        <v>47.200000000000003</v>
      </c>
      <c r="H248" s="3">
        <v>37.5</v>
      </c>
      <c r="I248" s="3">
        <f t="shared" si="47"/>
        <v>20.800000000000001</v>
      </c>
      <c r="J248" s="3">
        <f t="shared" si="48"/>
        <v>0.20000000000000284</v>
      </c>
      <c r="K248" s="3">
        <f t="shared" si="49"/>
        <v>3.6000000000000512</v>
      </c>
      <c r="L248" s="3">
        <f t="shared" si="50"/>
        <v>3.2000000000000455</v>
      </c>
      <c r="M248" s="3">
        <f t="shared" si="51"/>
        <v>2.8000000000000398</v>
      </c>
      <c r="N248" s="3">
        <f t="shared" si="52"/>
        <v>2.4000000000000341</v>
      </c>
      <c r="O248" s="3">
        <f t="shared" si="53"/>
        <v>2.0000000000000284</v>
      </c>
      <c r="P248" s="3"/>
      <c r="Q248" s="3">
        <v>54.347999999999999</v>
      </c>
      <c r="R248" s="3"/>
    </row>
    <row r="249" ht="14.25">
      <c r="A249">
        <v>1563207</v>
      </c>
      <c r="B249">
        <v>4.6699999999999999</v>
      </c>
      <c r="C249">
        <v>73.739999999999995</v>
      </c>
      <c r="D249">
        <v>78</v>
      </c>
      <c r="E249">
        <v>37.200000000000003</v>
      </c>
      <c r="F249" s="3">
        <f t="shared" si="45"/>
        <v>26.100000000000001</v>
      </c>
      <c r="G249" s="3">
        <f t="shared" si="46"/>
        <v>49.100000000000001</v>
      </c>
      <c r="H249" s="3">
        <v>37.5</v>
      </c>
      <c r="I249" s="3">
        <f t="shared" si="47"/>
        <v>21.600000000000001</v>
      </c>
      <c r="J249" s="3">
        <f t="shared" si="48"/>
        <v>0.29999999999999716</v>
      </c>
      <c r="K249" s="3">
        <f t="shared" si="49"/>
        <v>5.3999999999999488</v>
      </c>
      <c r="L249" s="3">
        <f t="shared" si="50"/>
        <v>4.7999999999999545</v>
      </c>
      <c r="M249" s="3">
        <f t="shared" si="51"/>
        <v>4.1999999999999602</v>
      </c>
      <c r="N249" s="3">
        <f t="shared" si="52"/>
        <v>3.5999999999999659</v>
      </c>
      <c r="O249" s="3">
        <f t="shared" si="53"/>
        <v>2.9999999999999716</v>
      </c>
      <c r="P249" s="3"/>
      <c r="Q249" s="3">
        <v>54.32</v>
      </c>
      <c r="R249" s="3"/>
    </row>
    <row r="250" ht="14.25">
      <c r="A250">
        <v>1569510</v>
      </c>
      <c r="B250">
        <v>4.6699999999999999</v>
      </c>
      <c r="C250">
        <v>73.769999999999996</v>
      </c>
      <c r="D250">
        <v>78</v>
      </c>
      <c r="E250">
        <v>37.399999999999999</v>
      </c>
      <c r="F250" s="3">
        <f t="shared" si="45"/>
        <v>26.199999999999999</v>
      </c>
      <c r="G250" s="3">
        <f t="shared" si="46"/>
        <v>49.100000000000001</v>
      </c>
      <c r="H250" s="3">
        <v>37.5</v>
      </c>
      <c r="I250" s="3">
        <f t="shared" si="47"/>
        <v>21.600000000000001</v>
      </c>
      <c r="J250" s="3">
        <f t="shared" si="48"/>
        <v>0.10000000000000142</v>
      </c>
      <c r="K250" s="3">
        <f t="shared" si="49"/>
        <v>1.8000000000000256</v>
      </c>
      <c r="L250" s="3">
        <f t="shared" si="50"/>
        <v>1.6000000000000227</v>
      </c>
      <c r="M250" s="3">
        <f t="shared" si="51"/>
        <v>1.4000000000000199</v>
      </c>
      <c r="N250" s="3">
        <f t="shared" si="52"/>
        <v>1.2000000000000171</v>
      </c>
      <c r="O250" s="3">
        <f t="shared" si="53"/>
        <v>1.0000000000000142</v>
      </c>
      <c r="P250" s="3"/>
      <c r="Q250" s="3">
        <v>54.292000000000002</v>
      </c>
      <c r="R250" s="3"/>
    </row>
    <row r="251" ht="14.25">
      <c r="A251">
        <v>1575814</v>
      </c>
      <c r="B251">
        <v>4.6699999999999999</v>
      </c>
      <c r="C251">
        <v>73.799999999999997</v>
      </c>
      <c r="D251">
        <v>78</v>
      </c>
      <c r="E251">
        <v>37.299999999999997</v>
      </c>
      <c r="F251" s="3">
        <f t="shared" si="45"/>
        <v>26.300000000000001</v>
      </c>
      <c r="G251" s="3">
        <f t="shared" si="46"/>
        <v>49.100000000000001</v>
      </c>
      <c r="H251" s="3">
        <v>37.5</v>
      </c>
      <c r="I251" s="3">
        <f t="shared" si="47"/>
        <v>21.600000000000001</v>
      </c>
      <c r="J251" s="3">
        <f t="shared" si="48"/>
        <v>0.20000000000000284</v>
      </c>
      <c r="K251" s="3">
        <f t="shared" si="49"/>
        <v>3.6000000000000512</v>
      </c>
      <c r="L251" s="3">
        <f t="shared" si="50"/>
        <v>3.2000000000000455</v>
      </c>
      <c r="M251" s="3">
        <f t="shared" si="51"/>
        <v>2.8000000000000398</v>
      </c>
      <c r="N251" s="3">
        <f t="shared" si="52"/>
        <v>2.4000000000000341</v>
      </c>
      <c r="O251" s="3">
        <f t="shared" si="53"/>
        <v>2.0000000000000284</v>
      </c>
      <c r="P251" s="3"/>
      <c r="Q251" s="3">
        <v>54.277999999999999</v>
      </c>
      <c r="R251" s="3"/>
    </row>
    <row r="252" ht="14.25">
      <c r="A252">
        <v>1582116</v>
      </c>
      <c r="B252">
        <v>4</v>
      </c>
      <c r="C252">
        <v>73.829999999999998</v>
      </c>
      <c r="D252">
        <v>77</v>
      </c>
      <c r="E252">
        <v>37.200000000000003</v>
      </c>
      <c r="F252" s="3">
        <f t="shared" si="45"/>
        <v>26.399999999999999</v>
      </c>
      <c r="G252" s="3">
        <f t="shared" si="46"/>
        <v>48.399999999999999</v>
      </c>
      <c r="H252" s="3">
        <v>37.5</v>
      </c>
      <c r="I252" s="3">
        <f t="shared" si="47"/>
        <v>21.300000000000001</v>
      </c>
      <c r="J252" s="3">
        <f t="shared" si="48"/>
        <v>0.29999999999999716</v>
      </c>
      <c r="K252" s="3">
        <f t="shared" si="49"/>
        <v>5.3999999999999488</v>
      </c>
      <c r="L252" s="3">
        <f t="shared" si="50"/>
        <v>4.7999999999999545</v>
      </c>
      <c r="M252" s="3">
        <f t="shared" si="51"/>
        <v>4.1999999999999602</v>
      </c>
      <c r="N252" s="3">
        <f t="shared" si="52"/>
        <v>3.5999999999999659</v>
      </c>
      <c r="O252" s="3">
        <f t="shared" si="53"/>
        <v>2.9999999999999716</v>
      </c>
      <c r="P252" s="3"/>
      <c r="Q252" s="3">
        <v>54.264000000000003</v>
      </c>
      <c r="R252" s="3"/>
    </row>
    <row r="253" ht="14.25">
      <c r="A253">
        <v>1588418</v>
      </c>
      <c r="B253">
        <v>2</v>
      </c>
      <c r="C253">
        <v>73.849999999999994</v>
      </c>
      <c r="D253">
        <v>75</v>
      </c>
      <c r="E253">
        <v>37.200000000000003</v>
      </c>
      <c r="F253" s="3">
        <f t="shared" si="45"/>
        <v>26.5</v>
      </c>
      <c r="G253" s="3">
        <f t="shared" si="46"/>
        <v>47.200000000000003</v>
      </c>
      <c r="H253" s="3">
        <v>37.5</v>
      </c>
      <c r="I253" s="3">
        <f t="shared" si="47"/>
        <v>20.800000000000001</v>
      </c>
      <c r="J253" s="3">
        <f t="shared" si="48"/>
        <v>0.29999999999999716</v>
      </c>
      <c r="K253" s="3">
        <f t="shared" si="49"/>
        <v>5.3999999999999488</v>
      </c>
      <c r="L253" s="3">
        <f t="shared" si="50"/>
        <v>4.7999999999999545</v>
      </c>
      <c r="M253" s="3">
        <f t="shared" si="51"/>
        <v>4.1999999999999602</v>
      </c>
      <c r="N253" s="3">
        <f t="shared" si="52"/>
        <v>3.5999999999999659</v>
      </c>
      <c r="O253" s="3">
        <f t="shared" si="53"/>
        <v>2.9999999999999716</v>
      </c>
      <c r="P253" s="3"/>
      <c r="Q253" s="3">
        <v>54.277999999999999</v>
      </c>
      <c r="R253" s="3"/>
    </row>
    <row r="254" ht="14.25">
      <c r="A254">
        <v>1594722</v>
      </c>
      <c r="B254">
        <v>3.3300000000000001</v>
      </c>
      <c r="C254">
        <v>73.870000000000005</v>
      </c>
      <c r="D254">
        <v>77</v>
      </c>
      <c r="E254">
        <v>37.299999999999997</v>
      </c>
      <c r="F254" s="3">
        <f t="shared" si="45"/>
        <v>26.600000000000001</v>
      </c>
      <c r="G254" s="3">
        <f t="shared" si="46"/>
        <v>48.399999999999999</v>
      </c>
      <c r="H254" s="3">
        <v>37.5</v>
      </c>
      <c r="I254" s="3">
        <f t="shared" si="47"/>
        <v>21.300000000000001</v>
      </c>
      <c r="J254" s="3">
        <f t="shared" si="48"/>
        <v>0.20000000000000284</v>
      </c>
      <c r="K254" s="3">
        <f t="shared" si="49"/>
        <v>3.6000000000000512</v>
      </c>
      <c r="L254" s="3">
        <f t="shared" si="50"/>
        <v>3.2000000000000455</v>
      </c>
      <c r="M254" s="3">
        <f t="shared" si="51"/>
        <v>2.8000000000000398</v>
      </c>
      <c r="N254" s="3">
        <f t="shared" si="52"/>
        <v>2.4000000000000341</v>
      </c>
      <c r="O254" s="3">
        <f t="shared" si="53"/>
        <v>2.0000000000000284</v>
      </c>
      <c r="P254" s="3"/>
      <c r="Q254" s="3">
        <v>54.292000000000002</v>
      </c>
      <c r="R254" s="3"/>
    </row>
    <row r="255" ht="14.25">
      <c r="A255">
        <v>1601026</v>
      </c>
      <c r="B255">
        <v>3.3300000000000001</v>
      </c>
      <c r="C255">
        <v>73.890000000000001</v>
      </c>
      <c r="D255">
        <v>77</v>
      </c>
      <c r="E255">
        <v>37.299999999999997</v>
      </c>
      <c r="F255" s="3">
        <f t="shared" si="45"/>
        <v>26.699999999999999</v>
      </c>
      <c r="G255" s="3">
        <f t="shared" si="46"/>
        <v>48.399999999999999</v>
      </c>
      <c r="H255" s="3">
        <v>37.5</v>
      </c>
      <c r="I255" s="3">
        <f t="shared" si="47"/>
        <v>21.300000000000001</v>
      </c>
      <c r="J255" s="3">
        <f t="shared" si="48"/>
        <v>0.20000000000000284</v>
      </c>
      <c r="K255" s="3">
        <f t="shared" si="49"/>
        <v>3.6000000000000512</v>
      </c>
      <c r="L255" s="3">
        <f t="shared" si="50"/>
        <v>3.2000000000000455</v>
      </c>
      <c r="M255" s="3">
        <f t="shared" si="51"/>
        <v>2.8000000000000398</v>
      </c>
      <c r="N255" s="3">
        <f t="shared" si="52"/>
        <v>2.4000000000000341</v>
      </c>
      <c r="O255" s="3">
        <f t="shared" si="53"/>
        <v>2.0000000000000284</v>
      </c>
      <c r="P255" s="3"/>
      <c r="Q255" s="3">
        <v>54.305999999999997</v>
      </c>
      <c r="R255" s="3"/>
    </row>
    <row r="256" ht="14.25">
      <c r="A256">
        <v>1607328</v>
      </c>
      <c r="B256">
        <v>2</v>
      </c>
      <c r="C256">
        <v>73.909999999999997</v>
      </c>
      <c r="D256">
        <v>75</v>
      </c>
      <c r="E256">
        <v>37.399999999999999</v>
      </c>
      <c r="F256" s="3">
        <f t="shared" si="45"/>
        <v>26.800000000000001</v>
      </c>
      <c r="G256" s="3">
        <f t="shared" si="46"/>
        <v>47.200000000000003</v>
      </c>
      <c r="H256" s="3">
        <v>37.5</v>
      </c>
      <c r="I256" s="3">
        <f t="shared" si="47"/>
        <v>20.800000000000001</v>
      </c>
      <c r="J256" s="3">
        <f t="shared" si="48"/>
        <v>0.10000000000000142</v>
      </c>
      <c r="K256" s="3">
        <f t="shared" si="49"/>
        <v>1.8000000000000256</v>
      </c>
      <c r="L256" s="3">
        <f t="shared" si="50"/>
        <v>1.6000000000000227</v>
      </c>
      <c r="M256" s="3">
        <f t="shared" si="51"/>
        <v>1.4000000000000199</v>
      </c>
      <c r="N256" s="3">
        <f t="shared" si="52"/>
        <v>1.2000000000000171</v>
      </c>
      <c r="O256" s="3">
        <f t="shared" si="53"/>
        <v>1.0000000000000142</v>
      </c>
      <c r="P256" s="3"/>
      <c r="Q256" s="3">
        <v>54.292000000000002</v>
      </c>
      <c r="R256" s="3"/>
    </row>
    <row r="257" ht="14.25">
      <c r="A257">
        <v>1613631</v>
      </c>
      <c r="B257">
        <v>3.3300000000000001</v>
      </c>
      <c r="C257">
        <v>73.930000000000007</v>
      </c>
      <c r="D257">
        <v>77</v>
      </c>
      <c r="E257">
        <v>37.299999999999997</v>
      </c>
      <c r="F257" s="3">
        <f t="shared" si="45"/>
        <v>26.899999999999999</v>
      </c>
      <c r="G257" s="3">
        <f t="shared" si="46"/>
        <v>48.399999999999999</v>
      </c>
      <c r="H257" s="3">
        <v>37.5</v>
      </c>
      <c r="I257" s="3">
        <f t="shared" si="47"/>
        <v>21.300000000000001</v>
      </c>
      <c r="J257" s="3">
        <f t="shared" si="48"/>
        <v>0.20000000000000284</v>
      </c>
      <c r="K257" s="3">
        <f t="shared" si="49"/>
        <v>3.6000000000000512</v>
      </c>
      <c r="L257" s="3">
        <f t="shared" si="50"/>
        <v>3.2000000000000455</v>
      </c>
      <c r="M257" s="3">
        <f t="shared" si="51"/>
        <v>2.8000000000000398</v>
      </c>
      <c r="N257" s="3">
        <f t="shared" si="52"/>
        <v>2.4000000000000341</v>
      </c>
      <c r="O257" s="3">
        <f t="shared" si="53"/>
        <v>2.0000000000000284</v>
      </c>
      <c r="P257" s="3"/>
      <c r="Q257" s="3">
        <v>54.277999999999999</v>
      </c>
      <c r="R257" s="3"/>
    </row>
    <row r="258" ht="14.25">
      <c r="A258">
        <v>1619935</v>
      </c>
      <c r="B258">
        <v>2.6699999999999999</v>
      </c>
      <c r="C258">
        <v>73.950000000000003</v>
      </c>
      <c r="D258">
        <v>76</v>
      </c>
      <c r="E258">
        <v>37.299999999999997</v>
      </c>
      <c r="F258" s="3">
        <f t="shared" si="45"/>
        <v>27</v>
      </c>
      <c r="G258" s="3">
        <f t="shared" si="46"/>
        <v>47.799999999999997</v>
      </c>
      <c r="H258" s="3">
        <v>37.5</v>
      </c>
      <c r="I258" s="3">
        <f t="shared" si="47"/>
        <v>21</v>
      </c>
      <c r="J258" s="3">
        <f t="shared" si="48"/>
        <v>0.20000000000000284</v>
      </c>
      <c r="K258" s="3">
        <f t="shared" si="49"/>
        <v>3.6000000000000512</v>
      </c>
      <c r="L258" s="3">
        <f t="shared" si="50"/>
        <v>3.2000000000000455</v>
      </c>
      <c r="M258" s="3">
        <f t="shared" si="51"/>
        <v>2.8000000000000398</v>
      </c>
      <c r="N258" s="3">
        <f t="shared" si="52"/>
        <v>2.4000000000000341</v>
      </c>
      <c r="O258" s="3">
        <f t="shared" si="53"/>
        <v>2.0000000000000284</v>
      </c>
      <c r="P258" s="3"/>
      <c r="Q258" s="3">
        <v>54.207999999999998</v>
      </c>
      <c r="R258" s="3"/>
    </row>
    <row r="259" ht="14.25">
      <c r="A259">
        <v>1626238</v>
      </c>
      <c r="B259">
        <v>4</v>
      </c>
      <c r="C259">
        <v>73.980000000000004</v>
      </c>
      <c r="D259">
        <v>77</v>
      </c>
      <c r="E259">
        <v>37.299999999999997</v>
      </c>
      <c r="F259" s="3">
        <f t="shared" si="45"/>
        <v>27.100000000000001</v>
      </c>
      <c r="G259" s="3">
        <f t="shared" si="46"/>
        <v>48.399999999999999</v>
      </c>
      <c r="H259" s="3">
        <v>37.5</v>
      </c>
      <c r="I259" s="3">
        <f t="shared" si="47"/>
        <v>21.300000000000001</v>
      </c>
      <c r="J259" s="3">
        <f t="shared" si="48"/>
        <v>0.20000000000000284</v>
      </c>
      <c r="K259" s="3">
        <f t="shared" si="49"/>
        <v>3.6000000000000512</v>
      </c>
      <c r="L259" s="3">
        <f t="shared" si="50"/>
        <v>3.2000000000000455</v>
      </c>
      <c r="M259" s="3">
        <f t="shared" si="51"/>
        <v>2.8000000000000398</v>
      </c>
      <c r="N259" s="3">
        <f t="shared" si="52"/>
        <v>2.4000000000000341</v>
      </c>
      <c r="O259" s="3">
        <f t="shared" si="53"/>
        <v>2.0000000000000284</v>
      </c>
      <c r="P259" s="3"/>
      <c r="Q259" s="3">
        <v>54.194000000000003</v>
      </c>
      <c r="R259" s="3"/>
    </row>
    <row r="260" ht="14.25">
      <c r="A260">
        <v>1632542</v>
      </c>
      <c r="B260">
        <v>4</v>
      </c>
      <c r="C260">
        <v>74</v>
      </c>
      <c r="D260">
        <v>78</v>
      </c>
      <c r="E260">
        <v>37.200000000000003</v>
      </c>
      <c r="F260" s="3">
        <f t="shared" si="45"/>
        <v>27.199999999999999</v>
      </c>
      <c r="G260" s="3">
        <f t="shared" si="46"/>
        <v>49.100000000000001</v>
      </c>
      <c r="H260" s="3">
        <v>37.5</v>
      </c>
      <c r="I260" s="3">
        <f t="shared" si="47"/>
        <v>21.600000000000001</v>
      </c>
      <c r="J260" s="3">
        <f t="shared" si="48"/>
        <v>0.29999999999999716</v>
      </c>
      <c r="K260" s="3">
        <f t="shared" si="49"/>
        <v>5.3999999999999488</v>
      </c>
      <c r="L260" s="3">
        <f t="shared" si="50"/>
        <v>4.7999999999999545</v>
      </c>
      <c r="M260" s="3">
        <f t="shared" si="51"/>
        <v>4.1999999999999602</v>
      </c>
      <c r="N260" s="3">
        <f t="shared" si="52"/>
        <v>3.5999999999999659</v>
      </c>
      <c r="O260" s="3">
        <f t="shared" si="53"/>
        <v>2.9999999999999716</v>
      </c>
      <c r="P260" s="3"/>
      <c r="Q260" s="3">
        <v>54.194000000000003</v>
      </c>
      <c r="R260" s="3"/>
    </row>
    <row r="261" ht="14.25">
      <c r="A261">
        <v>1638846</v>
      </c>
      <c r="B261">
        <v>3.3300000000000001</v>
      </c>
      <c r="C261">
        <v>74.030000000000001</v>
      </c>
      <c r="D261">
        <v>77</v>
      </c>
      <c r="E261">
        <v>37.299999999999997</v>
      </c>
      <c r="F261" s="3">
        <f t="shared" si="45"/>
        <v>27.300000000000001</v>
      </c>
      <c r="G261" s="3">
        <f t="shared" si="46"/>
        <v>48.399999999999999</v>
      </c>
      <c r="H261" s="3">
        <v>37.5</v>
      </c>
      <c r="I261" s="3">
        <f t="shared" si="47"/>
        <v>21.300000000000001</v>
      </c>
      <c r="J261" s="3">
        <f t="shared" si="48"/>
        <v>0.20000000000000284</v>
      </c>
      <c r="K261" s="3">
        <f t="shared" si="49"/>
        <v>3.6000000000000512</v>
      </c>
      <c r="L261" s="3">
        <f t="shared" si="50"/>
        <v>3.2000000000000455</v>
      </c>
      <c r="M261" s="3">
        <f t="shared" si="51"/>
        <v>2.8000000000000398</v>
      </c>
      <c r="N261" s="3">
        <f t="shared" si="52"/>
        <v>2.4000000000000341</v>
      </c>
      <c r="O261" s="3">
        <f t="shared" si="53"/>
        <v>2.0000000000000284</v>
      </c>
      <c r="P261" s="3"/>
      <c r="Q261" s="3">
        <v>54.18</v>
      </c>
      <c r="R261" s="3"/>
    </row>
    <row r="262" ht="14.25">
      <c r="A262">
        <v>1645150</v>
      </c>
      <c r="B262">
        <v>1.3300000000000001</v>
      </c>
      <c r="C262">
        <v>74.040000000000006</v>
      </c>
      <c r="D262">
        <v>75</v>
      </c>
      <c r="E262">
        <v>37.100000000000001</v>
      </c>
      <c r="F262" s="3">
        <f t="shared" si="45"/>
        <v>27.399999999999999</v>
      </c>
      <c r="G262" s="3">
        <f t="shared" si="46"/>
        <v>47.200000000000003</v>
      </c>
      <c r="H262" s="3">
        <v>37.5</v>
      </c>
      <c r="I262" s="3">
        <f t="shared" si="47"/>
        <v>20.800000000000001</v>
      </c>
      <c r="J262" s="3">
        <f t="shared" si="48"/>
        <v>0.39999999999999858</v>
      </c>
      <c r="K262" s="3">
        <f t="shared" si="49"/>
        <v>7.1999999999999744</v>
      </c>
      <c r="L262" s="3">
        <f t="shared" si="50"/>
        <v>6.3999999999999773</v>
      </c>
      <c r="M262" s="3">
        <f t="shared" si="51"/>
        <v>5.5999999999999801</v>
      </c>
      <c r="N262" s="3">
        <f t="shared" si="52"/>
        <v>4.7999999999999829</v>
      </c>
      <c r="O262" s="3">
        <f t="shared" si="53"/>
        <v>3.9999999999999858</v>
      </c>
      <c r="P262" s="3"/>
      <c r="Q262" s="3">
        <v>54.18</v>
      </c>
      <c r="R262" s="3"/>
    </row>
    <row r="263" ht="14.25">
      <c r="A263">
        <v>1651452</v>
      </c>
      <c r="B263">
        <v>4</v>
      </c>
      <c r="C263">
        <v>74.060000000000002</v>
      </c>
      <c r="D263">
        <v>78</v>
      </c>
      <c r="E263">
        <v>37.100000000000001</v>
      </c>
      <c r="F263" s="3">
        <f t="shared" si="45"/>
        <v>27.5</v>
      </c>
      <c r="G263" s="3">
        <f t="shared" si="46"/>
        <v>49.100000000000001</v>
      </c>
      <c r="H263" s="3">
        <v>37.5</v>
      </c>
      <c r="I263" s="3">
        <f t="shared" si="47"/>
        <v>21.600000000000001</v>
      </c>
      <c r="J263" s="3">
        <f t="shared" si="48"/>
        <v>0.39999999999999858</v>
      </c>
      <c r="K263" s="3">
        <f t="shared" si="49"/>
        <v>7.1999999999999744</v>
      </c>
      <c r="L263" s="3">
        <f t="shared" si="50"/>
        <v>6.3999999999999773</v>
      </c>
      <c r="M263" s="3">
        <f t="shared" si="51"/>
        <v>5.5999999999999801</v>
      </c>
      <c r="N263" s="3">
        <f t="shared" si="52"/>
        <v>4.7999999999999829</v>
      </c>
      <c r="O263" s="3">
        <f t="shared" si="53"/>
        <v>3.9999999999999858</v>
      </c>
      <c r="P263" s="3"/>
      <c r="Q263" s="3">
        <v>54.18</v>
      </c>
      <c r="R263" s="3"/>
    </row>
    <row r="264" ht="14.25">
      <c r="A264">
        <v>1657755</v>
      </c>
      <c r="B264">
        <v>4.6699999999999999</v>
      </c>
      <c r="C264">
        <v>74.099999999999994</v>
      </c>
      <c r="D264">
        <v>78</v>
      </c>
      <c r="E264">
        <v>37.299999999999997</v>
      </c>
      <c r="F264" s="3">
        <f t="shared" si="45"/>
        <v>27.600000000000001</v>
      </c>
      <c r="G264" s="3">
        <f t="shared" si="46"/>
        <v>49.100000000000001</v>
      </c>
      <c r="H264" s="3">
        <v>37.5</v>
      </c>
      <c r="I264" s="3">
        <f t="shared" si="47"/>
        <v>21.600000000000001</v>
      </c>
      <c r="J264" s="3">
        <f t="shared" si="48"/>
        <v>0.20000000000000284</v>
      </c>
      <c r="K264" s="3">
        <f t="shared" si="49"/>
        <v>3.6000000000000512</v>
      </c>
      <c r="L264" s="3">
        <f t="shared" si="50"/>
        <v>3.2000000000000455</v>
      </c>
      <c r="M264" s="3">
        <f t="shared" si="51"/>
        <v>2.8000000000000398</v>
      </c>
      <c r="N264" s="3">
        <f t="shared" si="52"/>
        <v>2.4000000000000341</v>
      </c>
      <c r="O264" s="3">
        <f t="shared" si="53"/>
        <v>2.0000000000000284</v>
      </c>
      <c r="P264" s="3"/>
      <c r="Q264" s="3">
        <v>54.137999999999998</v>
      </c>
      <c r="R264" s="3"/>
    </row>
    <row r="265" ht="14.25">
      <c r="A265">
        <v>1664058</v>
      </c>
      <c r="B265">
        <v>3.3300000000000001</v>
      </c>
      <c r="C265">
        <v>74.120000000000005</v>
      </c>
      <c r="D265">
        <v>77</v>
      </c>
      <c r="E265">
        <v>37.299999999999997</v>
      </c>
      <c r="F265" s="3">
        <f t="shared" si="45"/>
        <v>27.699999999999999</v>
      </c>
      <c r="G265" s="3">
        <f t="shared" si="46"/>
        <v>48.399999999999999</v>
      </c>
      <c r="H265" s="3">
        <v>37.5</v>
      </c>
      <c r="I265" s="3">
        <f t="shared" si="47"/>
        <v>21.300000000000001</v>
      </c>
      <c r="J265" s="3">
        <f t="shared" si="48"/>
        <v>0.20000000000000284</v>
      </c>
      <c r="K265" s="3">
        <f t="shared" si="49"/>
        <v>3.6000000000000512</v>
      </c>
      <c r="L265" s="3">
        <f t="shared" si="50"/>
        <v>3.2000000000000455</v>
      </c>
      <c r="M265" s="3">
        <f t="shared" si="51"/>
        <v>2.8000000000000398</v>
      </c>
      <c r="N265" s="3">
        <f t="shared" si="52"/>
        <v>2.4000000000000341</v>
      </c>
      <c r="O265" s="3">
        <f t="shared" si="53"/>
        <v>2.0000000000000284</v>
      </c>
      <c r="P265" s="3"/>
      <c r="Q265" s="3">
        <v>54.109999999999999</v>
      </c>
      <c r="R265" s="3"/>
    </row>
    <row r="266" ht="14.25">
      <c r="A266">
        <v>1670362</v>
      </c>
      <c r="B266">
        <v>4.6699999999999999</v>
      </c>
      <c r="C266">
        <v>74.150000000000006</v>
      </c>
      <c r="D266">
        <v>78</v>
      </c>
      <c r="E266">
        <v>37.200000000000003</v>
      </c>
      <c r="F266" s="3">
        <f t="shared" si="45"/>
        <v>27.800000000000001</v>
      </c>
      <c r="G266" s="3">
        <f t="shared" si="46"/>
        <v>49.100000000000001</v>
      </c>
      <c r="H266" s="3">
        <v>37.5</v>
      </c>
      <c r="I266" s="3">
        <f t="shared" si="47"/>
        <v>21.600000000000001</v>
      </c>
      <c r="J266" s="3">
        <f t="shared" si="48"/>
        <v>0.29999999999999716</v>
      </c>
      <c r="K266" s="3">
        <f t="shared" si="49"/>
        <v>5.3999999999999488</v>
      </c>
      <c r="L266" s="3">
        <f t="shared" si="50"/>
        <v>4.7999999999999545</v>
      </c>
      <c r="M266" s="3">
        <f t="shared" si="51"/>
        <v>4.1999999999999602</v>
      </c>
      <c r="N266" s="3">
        <f t="shared" si="52"/>
        <v>3.5999999999999659</v>
      </c>
      <c r="O266" s="3">
        <f t="shared" si="53"/>
        <v>2.9999999999999716</v>
      </c>
      <c r="P266" s="3"/>
      <c r="Q266" s="3">
        <v>54.095999999999997</v>
      </c>
      <c r="R266" s="3"/>
    </row>
    <row r="267" ht="14.25">
      <c r="A267">
        <v>1676664</v>
      </c>
      <c r="B267">
        <v>6</v>
      </c>
      <c r="C267">
        <v>74.200000000000003</v>
      </c>
      <c r="D267">
        <v>80</v>
      </c>
      <c r="E267">
        <v>37.299999999999997</v>
      </c>
      <c r="F267" s="3">
        <f t="shared" si="45"/>
        <v>27.899999999999999</v>
      </c>
      <c r="G267" s="3">
        <f t="shared" si="46"/>
        <v>50.299999999999997</v>
      </c>
      <c r="H267" s="3">
        <v>37.5</v>
      </c>
      <c r="I267" s="3">
        <f t="shared" si="47"/>
        <v>22.100000000000001</v>
      </c>
      <c r="J267" s="3">
        <f t="shared" si="48"/>
        <v>0.20000000000000284</v>
      </c>
      <c r="K267" s="3">
        <f t="shared" si="49"/>
        <v>3.6000000000000512</v>
      </c>
      <c r="L267" s="3">
        <f t="shared" si="50"/>
        <v>3.2000000000000455</v>
      </c>
      <c r="M267" s="3">
        <f t="shared" si="51"/>
        <v>2.8000000000000398</v>
      </c>
      <c r="N267" s="3">
        <f t="shared" si="52"/>
        <v>2.4000000000000341</v>
      </c>
      <c r="O267" s="3">
        <f t="shared" si="53"/>
        <v>2.0000000000000284</v>
      </c>
      <c r="P267" s="3"/>
      <c r="Q267" s="3">
        <v>54.082000000000001</v>
      </c>
      <c r="R267" s="3"/>
    </row>
    <row r="268" ht="14.25">
      <c r="A268">
        <v>1682966</v>
      </c>
      <c r="B268">
        <v>6</v>
      </c>
      <c r="C268">
        <v>74.239999999999995</v>
      </c>
      <c r="D268">
        <v>80</v>
      </c>
      <c r="E268">
        <v>37.200000000000003</v>
      </c>
      <c r="F268" s="3">
        <f t="shared" si="45"/>
        <v>28</v>
      </c>
      <c r="G268" s="3">
        <f t="shared" si="46"/>
        <v>50.299999999999997</v>
      </c>
      <c r="H268" s="3">
        <v>37.5</v>
      </c>
      <c r="I268" s="3">
        <f t="shared" si="47"/>
        <v>22.100000000000001</v>
      </c>
      <c r="J268" s="3">
        <f t="shared" si="48"/>
        <v>0.29999999999999716</v>
      </c>
      <c r="K268" s="3">
        <f t="shared" si="49"/>
        <v>5.3999999999999488</v>
      </c>
      <c r="L268" s="3">
        <f t="shared" si="50"/>
        <v>4.7999999999999545</v>
      </c>
      <c r="M268" s="3">
        <f t="shared" si="51"/>
        <v>4.1999999999999602</v>
      </c>
      <c r="N268" s="3">
        <f t="shared" si="52"/>
        <v>3.5999999999999659</v>
      </c>
      <c r="O268" s="3">
        <f t="shared" si="53"/>
        <v>2.9999999999999716</v>
      </c>
      <c r="P268" s="3"/>
      <c r="Q268" s="3">
        <v>54.095999999999997</v>
      </c>
      <c r="R268" s="3"/>
    </row>
    <row r="269" ht="14.25">
      <c r="A269">
        <v>1689270</v>
      </c>
      <c r="B269">
        <v>0.67000000000000004</v>
      </c>
      <c r="C269">
        <v>74.239999999999995</v>
      </c>
      <c r="D269">
        <v>74</v>
      </c>
      <c r="E269">
        <v>37.5</v>
      </c>
      <c r="F269" s="3">
        <f t="shared" si="45"/>
        <v>28.199999999999999</v>
      </c>
      <c r="G269" s="3">
        <f t="shared" si="46"/>
        <v>46.5</v>
      </c>
      <c r="H269" s="3">
        <v>37.5</v>
      </c>
      <c r="I269" s="3">
        <f t="shared" si="47"/>
        <v>20.5</v>
      </c>
      <c r="J269" s="3">
        <f t="shared" si="48"/>
        <v>0</v>
      </c>
      <c r="K269" s="3">
        <f t="shared" si="49"/>
        <v>0</v>
      </c>
      <c r="L269" s="3">
        <f t="shared" si="50"/>
        <v>0</v>
      </c>
      <c r="M269" s="3">
        <f t="shared" si="51"/>
        <v>0</v>
      </c>
      <c r="N269" s="3">
        <f t="shared" si="52"/>
        <v>0</v>
      </c>
      <c r="O269" s="3">
        <f t="shared" si="53"/>
        <v>0</v>
      </c>
      <c r="P269" s="3"/>
      <c r="Q269" s="3">
        <v>54.109999999999999</v>
      </c>
      <c r="R269" s="3"/>
    </row>
    <row r="270" ht="14.25">
      <c r="A270">
        <v>1695574</v>
      </c>
      <c r="B270">
        <v>3.3300000000000001</v>
      </c>
      <c r="C270">
        <v>74.269999999999996</v>
      </c>
      <c r="D270">
        <v>77</v>
      </c>
      <c r="E270">
        <v>37.200000000000003</v>
      </c>
      <c r="F270" s="3">
        <f t="shared" si="45"/>
        <v>28.300000000000001</v>
      </c>
      <c r="G270" s="3">
        <f t="shared" si="46"/>
        <v>48.399999999999999</v>
      </c>
      <c r="H270" s="3">
        <v>37.5</v>
      </c>
      <c r="I270" s="3">
        <f t="shared" si="47"/>
        <v>21.300000000000001</v>
      </c>
      <c r="J270" s="3">
        <f t="shared" si="48"/>
        <v>0.29999999999999716</v>
      </c>
      <c r="K270" s="3">
        <f t="shared" si="49"/>
        <v>5.3999999999999488</v>
      </c>
      <c r="L270" s="3">
        <f t="shared" si="50"/>
        <v>4.7999999999999545</v>
      </c>
      <c r="M270" s="3">
        <f t="shared" si="51"/>
        <v>4.1999999999999602</v>
      </c>
      <c r="N270" s="3">
        <f t="shared" si="52"/>
        <v>3.5999999999999659</v>
      </c>
      <c r="O270" s="3">
        <f t="shared" si="53"/>
        <v>2.9999999999999716</v>
      </c>
      <c r="P270" s="3"/>
      <c r="Q270" s="3">
        <v>54.095999999999997</v>
      </c>
      <c r="R270" s="3"/>
    </row>
    <row r="271" ht="14.25">
      <c r="A271">
        <v>1701876</v>
      </c>
      <c r="B271">
        <v>2.6699999999999999</v>
      </c>
      <c r="C271">
        <v>74.280000000000001</v>
      </c>
      <c r="D271">
        <v>76</v>
      </c>
      <c r="E271">
        <v>37.5</v>
      </c>
      <c r="F271" s="3">
        <f t="shared" si="45"/>
        <v>28.399999999999999</v>
      </c>
      <c r="G271" s="3">
        <f t="shared" si="46"/>
        <v>47.799999999999997</v>
      </c>
      <c r="H271" s="3">
        <v>37.5</v>
      </c>
      <c r="I271" s="3">
        <f t="shared" si="47"/>
        <v>21</v>
      </c>
      <c r="J271" s="3">
        <f t="shared" si="48"/>
        <v>0</v>
      </c>
      <c r="K271" s="3">
        <f t="shared" si="49"/>
        <v>0</v>
      </c>
      <c r="L271" s="3">
        <f t="shared" si="50"/>
        <v>0</v>
      </c>
      <c r="M271" s="3">
        <f t="shared" si="51"/>
        <v>0</v>
      </c>
      <c r="N271" s="3">
        <f t="shared" si="52"/>
        <v>0</v>
      </c>
      <c r="O271" s="3">
        <f t="shared" si="53"/>
        <v>0</v>
      </c>
      <c r="P271" s="3"/>
      <c r="Q271" s="3">
        <v>54.095999999999997</v>
      </c>
      <c r="R271" s="3"/>
    </row>
    <row r="272" ht="14.25">
      <c r="A272">
        <v>1708180</v>
      </c>
      <c r="B272">
        <v>3.3300000000000001</v>
      </c>
      <c r="C272">
        <v>74.310000000000002</v>
      </c>
      <c r="D272">
        <v>77</v>
      </c>
      <c r="E272">
        <v>37.200000000000003</v>
      </c>
      <c r="F272" s="3">
        <f t="shared" si="45"/>
        <v>28.5</v>
      </c>
      <c r="G272" s="3">
        <f t="shared" si="46"/>
        <v>48.399999999999999</v>
      </c>
      <c r="H272" s="3">
        <v>37.5</v>
      </c>
      <c r="I272" s="3">
        <f t="shared" si="47"/>
        <v>21.300000000000001</v>
      </c>
      <c r="J272" s="3">
        <f t="shared" si="48"/>
        <v>0.29999999999999716</v>
      </c>
      <c r="K272" s="3">
        <f t="shared" si="49"/>
        <v>5.3999999999999488</v>
      </c>
      <c r="L272" s="3">
        <f t="shared" si="50"/>
        <v>4.7999999999999545</v>
      </c>
      <c r="M272" s="3">
        <f t="shared" si="51"/>
        <v>4.1999999999999602</v>
      </c>
      <c r="N272" s="3">
        <f t="shared" si="52"/>
        <v>3.5999999999999659</v>
      </c>
      <c r="O272" s="3">
        <f t="shared" si="53"/>
        <v>2.9999999999999716</v>
      </c>
      <c r="P272" s="3"/>
      <c r="Q272" s="3">
        <v>54.124000000000002</v>
      </c>
      <c r="R272" s="3"/>
    </row>
    <row r="273" ht="14.25">
      <c r="A273">
        <v>1714484</v>
      </c>
      <c r="B273">
        <v>4</v>
      </c>
      <c r="C273">
        <v>74.340000000000003</v>
      </c>
      <c r="D273">
        <v>78</v>
      </c>
      <c r="E273">
        <v>37.399999999999999</v>
      </c>
      <c r="F273" s="3">
        <f t="shared" si="45"/>
        <v>28.600000000000001</v>
      </c>
      <c r="G273" s="3">
        <f t="shared" si="46"/>
        <v>49.100000000000001</v>
      </c>
      <c r="H273" s="3">
        <v>37.5</v>
      </c>
      <c r="I273" s="3">
        <f t="shared" si="47"/>
        <v>21.600000000000001</v>
      </c>
      <c r="J273" s="3">
        <f t="shared" si="48"/>
        <v>0.10000000000000142</v>
      </c>
      <c r="K273" s="3">
        <f t="shared" si="49"/>
        <v>1.8000000000000256</v>
      </c>
      <c r="L273" s="3">
        <f t="shared" si="50"/>
        <v>1.6000000000000227</v>
      </c>
      <c r="M273" s="3">
        <f t="shared" si="51"/>
        <v>1.4000000000000199</v>
      </c>
      <c r="N273" s="3">
        <f t="shared" si="52"/>
        <v>1.2000000000000171</v>
      </c>
      <c r="O273" s="3">
        <f t="shared" si="53"/>
        <v>1.0000000000000142</v>
      </c>
      <c r="P273" s="3"/>
      <c r="Q273" s="3">
        <v>54.095999999999997</v>
      </c>
      <c r="R273" s="3"/>
    </row>
    <row r="274" ht="14.25">
      <c r="A274">
        <v>1720787</v>
      </c>
      <c r="B274">
        <v>3.3300000000000001</v>
      </c>
      <c r="C274">
        <v>74.359999999999999</v>
      </c>
      <c r="D274">
        <v>77</v>
      </c>
      <c r="E274">
        <v>37.299999999999997</v>
      </c>
      <c r="F274" s="3">
        <f t="shared" si="45"/>
        <v>28.699999999999999</v>
      </c>
      <c r="G274" s="3">
        <f t="shared" si="46"/>
        <v>48.399999999999999</v>
      </c>
      <c r="H274" s="3">
        <v>37.5</v>
      </c>
      <c r="I274" s="3">
        <f t="shared" si="47"/>
        <v>21.300000000000001</v>
      </c>
      <c r="J274" s="3">
        <f t="shared" si="48"/>
        <v>0.20000000000000284</v>
      </c>
      <c r="K274" s="3">
        <f t="shared" si="49"/>
        <v>3.6000000000000512</v>
      </c>
      <c r="L274" s="3">
        <f t="shared" si="50"/>
        <v>3.2000000000000455</v>
      </c>
      <c r="M274" s="3">
        <f t="shared" si="51"/>
        <v>2.8000000000000398</v>
      </c>
      <c r="N274" s="3">
        <f t="shared" si="52"/>
        <v>2.4000000000000341</v>
      </c>
      <c r="O274" s="3">
        <f t="shared" si="53"/>
        <v>2.0000000000000284</v>
      </c>
      <c r="P274" s="3"/>
      <c r="Q274" s="3">
        <v>54.082000000000001</v>
      </c>
      <c r="R274" s="3"/>
    </row>
    <row r="275" ht="14.25">
      <c r="A275">
        <v>1727091</v>
      </c>
      <c r="B275">
        <v>5.3300000000000001</v>
      </c>
      <c r="C275">
        <v>74.400000000000006</v>
      </c>
      <c r="D275">
        <v>79</v>
      </c>
      <c r="E275">
        <v>37.399999999999999</v>
      </c>
      <c r="F275" s="3">
        <f t="shared" si="45"/>
        <v>28.800000000000001</v>
      </c>
      <c r="G275" s="3">
        <f t="shared" si="46"/>
        <v>49.700000000000003</v>
      </c>
      <c r="H275" s="3">
        <v>37.5</v>
      </c>
      <c r="I275" s="3">
        <f t="shared" si="47"/>
        <v>21.899999999999999</v>
      </c>
      <c r="J275" s="3">
        <f t="shared" si="48"/>
        <v>0.10000000000000142</v>
      </c>
      <c r="K275" s="3">
        <f t="shared" si="49"/>
        <v>1.8000000000000256</v>
      </c>
      <c r="L275" s="3">
        <f t="shared" si="50"/>
        <v>1.6000000000000227</v>
      </c>
      <c r="M275" s="3">
        <f t="shared" si="51"/>
        <v>1.4000000000000199</v>
      </c>
      <c r="N275" s="3">
        <f t="shared" si="52"/>
        <v>1.2000000000000171</v>
      </c>
      <c r="O275" s="3">
        <f t="shared" si="53"/>
        <v>1.0000000000000142</v>
      </c>
      <c r="P275" s="3"/>
      <c r="Q275" s="3">
        <v>54.095999999999997</v>
      </c>
      <c r="R275" s="3"/>
    </row>
    <row r="276" ht="14.25">
      <c r="A276">
        <v>1733393</v>
      </c>
      <c r="B276">
        <v>3.3300000000000001</v>
      </c>
      <c r="C276">
        <v>74.420000000000002</v>
      </c>
      <c r="D276">
        <v>77</v>
      </c>
      <c r="E276">
        <v>37.200000000000003</v>
      </c>
      <c r="F276" s="3">
        <f t="shared" si="45"/>
        <v>28.899999999999999</v>
      </c>
      <c r="G276" s="3">
        <f t="shared" si="46"/>
        <v>48.399999999999999</v>
      </c>
      <c r="H276" s="3">
        <v>37.5</v>
      </c>
      <c r="I276" s="3">
        <f t="shared" si="47"/>
        <v>21.300000000000001</v>
      </c>
      <c r="J276" s="3">
        <f t="shared" si="48"/>
        <v>0.29999999999999716</v>
      </c>
      <c r="K276" s="3">
        <f t="shared" si="49"/>
        <v>5.3999999999999488</v>
      </c>
      <c r="L276" s="3">
        <f t="shared" si="50"/>
        <v>4.7999999999999545</v>
      </c>
      <c r="M276" s="3">
        <f t="shared" si="51"/>
        <v>4.1999999999999602</v>
      </c>
      <c r="N276" s="3">
        <f t="shared" si="52"/>
        <v>3.5999999999999659</v>
      </c>
      <c r="O276" s="3">
        <f t="shared" si="53"/>
        <v>2.9999999999999716</v>
      </c>
      <c r="P276" s="3"/>
      <c r="Q276" s="3">
        <v>54.109999999999999</v>
      </c>
      <c r="R276" s="3"/>
    </row>
    <row r="277" ht="14.25">
      <c r="A277">
        <v>1739697</v>
      </c>
      <c r="B277">
        <v>3.3300000000000001</v>
      </c>
      <c r="C277">
        <v>74.439999999999998</v>
      </c>
      <c r="D277">
        <v>77</v>
      </c>
      <c r="E277">
        <v>37.200000000000003</v>
      </c>
      <c r="F277" s="3">
        <f t="shared" si="45"/>
        <v>29</v>
      </c>
      <c r="G277" s="3">
        <f t="shared" si="46"/>
        <v>48.399999999999999</v>
      </c>
      <c r="H277" s="3">
        <v>37.5</v>
      </c>
      <c r="I277" s="3">
        <f t="shared" si="47"/>
        <v>21.300000000000001</v>
      </c>
      <c r="J277" s="3">
        <f t="shared" si="48"/>
        <v>0.29999999999999716</v>
      </c>
      <c r="K277" s="3">
        <f t="shared" si="49"/>
        <v>5.3999999999999488</v>
      </c>
      <c r="L277" s="3">
        <f t="shared" si="50"/>
        <v>4.7999999999999545</v>
      </c>
      <c r="M277" s="3">
        <f t="shared" si="51"/>
        <v>4.1999999999999602</v>
      </c>
      <c r="N277" s="3">
        <f t="shared" si="52"/>
        <v>3.5999999999999659</v>
      </c>
      <c r="O277" s="3">
        <f t="shared" si="53"/>
        <v>2.9999999999999716</v>
      </c>
      <c r="P277" s="3"/>
      <c r="Q277" s="3">
        <v>54.109999999999999</v>
      </c>
      <c r="R277" s="3"/>
    </row>
    <row r="278" ht="14.25">
      <c r="A278">
        <v>1746000</v>
      </c>
      <c r="B278">
        <v>4.6699999999999999</v>
      </c>
      <c r="C278">
        <v>74.480000000000004</v>
      </c>
      <c r="D278">
        <v>79</v>
      </c>
      <c r="E278">
        <v>37.100000000000001</v>
      </c>
      <c r="F278" s="3">
        <f t="shared" si="45"/>
        <v>29.100000000000001</v>
      </c>
      <c r="G278" s="3">
        <f t="shared" si="46"/>
        <v>49.700000000000003</v>
      </c>
      <c r="H278" s="3">
        <v>37.5</v>
      </c>
      <c r="I278" s="3">
        <f t="shared" si="47"/>
        <v>21.899999999999999</v>
      </c>
      <c r="J278" s="3">
        <f t="shared" si="48"/>
        <v>0.39999999999999858</v>
      </c>
      <c r="K278" s="3">
        <f t="shared" si="49"/>
        <v>7.1999999999999744</v>
      </c>
      <c r="L278" s="3">
        <f t="shared" si="50"/>
        <v>6.3999999999999773</v>
      </c>
      <c r="M278" s="3">
        <f t="shared" si="51"/>
        <v>5.5999999999999801</v>
      </c>
      <c r="N278" s="3">
        <f t="shared" si="52"/>
        <v>4.7999999999999829</v>
      </c>
      <c r="O278" s="3">
        <f t="shared" si="53"/>
        <v>3.9999999999999858</v>
      </c>
      <c r="P278" s="3"/>
      <c r="Q278" s="3">
        <v>54.095999999999997</v>
      </c>
      <c r="R278" s="3"/>
    </row>
    <row r="279" ht="14.25">
      <c r="A279">
        <v>1752303</v>
      </c>
      <c r="B279">
        <v>3.3300000000000001</v>
      </c>
      <c r="C279">
        <v>74.5</v>
      </c>
      <c r="D279">
        <v>77</v>
      </c>
      <c r="E279">
        <v>37.299999999999997</v>
      </c>
      <c r="F279" s="3">
        <f t="shared" si="45"/>
        <v>29.199999999999999</v>
      </c>
      <c r="G279" s="3">
        <f t="shared" si="46"/>
        <v>48.399999999999999</v>
      </c>
      <c r="H279" s="3">
        <v>37.5</v>
      </c>
      <c r="I279" s="3">
        <f t="shared" si="47"/>
        <v>21.300000000000001</v>
      </c>
      <c r="J279" s="3">
        <f t="shared" si="48"/>
        <v>0.20000000000000284</v>
      </c>
      <c r="K279" s="3">
        <f t="shared" si="49"/>
        <v>3.6000000000000512</v>
      </c>
      <c r="L279" s="3">
        <f t="shared" si="50"/>
        <v>3.2000000000000455</v>
      </c>
      <c r="M279" s="3">
        <f t="shared" si="51"/>
        <v>2.8000000000000398</v>
      </c>
      <c r="N279" s="3">
        <f t="shared" si="52"/>
        <v>2.4000000000000341</v>
      </c>
      <c r="O279" s="3">
        <f t="shared" si="53"/>
        <v>2.0000000000000284</v>
      </c>
      <c r="P279" s="3"/>
      <c r="Q279" s="3">
        <v>54.082000000000001</v>
      </c>
      <c r="R279" s="3"/>
    </row>
    <row r="280" ht="14.25">
      <c r="A280">
        <v>1758605</v>
      </c>
      <c r="B280">
        <v>3.3300000000000001</v>
      </c>
      <c r="C280">
        <v>74.519999999999996</v>
      </c>
      <c r="D280">
        <v>77</v>
      </c>
      <c r="E280">
        <v>37.200000000000003</v>
      </c>
      <c r="F280" s="3">
        <f t="shared" si="45"/>
        <v>29.300000000000001</v>
      </c>
      <c r="G280" s="3">
        <f t="shared" si="46"/>
        <v>48.399999999999999</v>
      </c>
      <c r="H280" s="3">
        <v>37.5</v>
      </c>
      <c r="I280" s="3">
        <f t="shared" si="47"/>
        <v>21.300000000000001</v>
      </c>
      <c r="J280" s="3">
        <f t="shared" si="48"/>
        <v>0.29999999999999716</v>
      </c>
      <c r="K280" s="3">
        <f t="shared" si="49"/>
        <v>5.3999999999999488</v>
      </c>
      <c r="L280" s="3">
        <f t="shared" si="50"/>
        <v>4.7999999999999545</v>
      </c>
      <c r="M280" s="3">
        <f t="shared" si="51"/>
        <v>4.1999999999999602</v>
      </c>
      <c r="N280" s="3">
        <f t="shared" si="52"/>
        <v>3.5999999999999659</v>
      </c>
      <c r="O280" s="3">
        <f t="shared" si="53"/>
        <v>2.9999999999999716</v>
      </c>
      <c r="P280" s="3"/>
      <c r="Q280" s="3">
        <v>54.095999999999997</v>
      </c>
      <c r="R280" s="3"/>
    </row>
    <row r="281" ht="14.25">
      <c r="A281">
        <v>1764910</v>
      </c>
      <c r="B281">
        <v>4.6699999999999999</v>
      </c>
      <c r="C281">
        <v>74.549999999999997</v>
      </c>
      <c r="D281">
        <v>79</v>
      </c>
      <c r="E281">
        <v>37.299999999999997</v>
      </c>
      <c r="F281" s="3">
        <f t="shared" si="45"/>
        <v>29.399999999999999</v>
      </c>
      <c r="G281" s="3">
        <f t="shared" si="46"/>
        <v>49.700000000000003</v>
      </c>
      <c r="H281" s="3">
        <v>37.5</v>
      </c>
      <c r="I281" s="3">
        <f t="shared" si="47"/>
        <v>21.899999999999999</v>
      </c>
      <c r="J281" s="3">
        <f t="shared" si="48"/>
        <v>0.20000000000000284</v>
      </c>
      <c r="K281" s="3">
        <f t="shared" si="49"/>
        <v>3.6000000000000512</v>
      </c>
      <c r="L281" s="3">
        <f t="shared" si="50"/>
        <v>3.2000000000000455</v>
      </c>
      <c r="M281" s="3">
        <f t="shared" si="51"/>
        <v>2.8000000000000398</v>
      </c>
      <c r="N281" s="3">
        <f t="shared" si="52"/>
        <v>2.4000000000000341</v>
      </c>
      <c r="O281" s="3">
        <f t="shared" si="53"/>
        <v>2.0000000000000284</v>
      </c>
      <c r="P281" s="3"/>
      <c r="Q281" s="3">
        <v>54.137999999999998</v>
      </c>
      <c r="R281" s="3"/>
    </row>
    <row r="282" ht="14.25">
      <c r="A282">
        <v>1771211</v>
      </c>
      <c r="B282">
        <v>4.6699999999999999</v>
      </c>
      <c r="C282">
        <v>74.590000000000003</v>
      </c>
      <c r="D282">
        <v>79</v>
      </c>
      <c r="E282">
        <v>37.200000000000003</v>
      </c>
      <c r="F282" s="3">
        <f t="shared" si="45"/>
        <v>29.5</v>
      </c>
      <c r="G282" s="3">
        <f t="shared" si="46"/>
        <v>49.700000000000003</v>
      </c>
      <c r="H282" s="3">
        <v>37.5</v>
      </c>
      <c r="I282" s="3">
        <f t="shared" si="47"/>
        <v>21.899999999999999</v>
      </c>
      <c r="J282" s="3">
        <f t="shared" si="48"/>
        <v>0.29999999999999716</v>
      </c>
      <c r="K282" s="3">
        <f t="shared" si="49"/>
        <v>5.3999999999999488</v>
      </c>
      <c r="L282" s="3">
        <f t="shared" si="50"/>
        <v>4.7999999999999545</v>
      </c>
      <c r="M282" s="3">
        <f t="shared" si="51"/>
        <v>4.1999999999999602</v>
      </c>
      <c r="N282" s="3">
        <f t="shared" si="52"/>
        <v>3.5999999999999659</v>
      </c>
      <c r="O282" s="3">
        <f t="shared" si="53"/>
        <v>2.9999999999999716</v>
      </c>
      <c r="P282" s="3"/>
      <c r="Q282" s="3">
        <v>54.137999999999998</v>
      </c>
      <c r="R282" s="3"/>
    </row>
    <row r="283" ht="14.25">
      <c r="A283">
        <v>1777515</v>
      </c>
      <c r="B283">
        <v>4</v>
      </c>
      <c r="C283">
        <v>74.620000000000005</v>
      </c>
      <c r="D283">
        <v>78</v>
      </c>
      <c r="E283">
        <v>37.299999999999997</v>
      </c>
      <c r="F283" s="3">
        <f t="shared" si="45"/>
        <v>29.600000000000001</v>
      </c>
      <c r="G283" s="3">
        <f t="shared" si="46"/>
        <v>49.100000000000001</v>
      </c>
      <c r="H283" s="3">
        <v>37.5</v>
      </c>
      <c r="I283" s="3">
        <f t="shared" si="47"/>
        <v>21.600000000000001</v>
      </c>
      <c r="J283" s="3">
        <f t="shared" si="48"/>
        <v>0.20000000000000284</v>
      </c>
      <c r="K283" s="3">
        <f t="shared" si="49"/>
        <v>3.6000000000000512</v>
      </c>
      <c r="L283" s="3">
        <f t="shared" si="50"/>
        <v>3.2000000000000455</v>
      </c>
      <c r="M283" s="3">
        <f t="shared" si="51"/>
        <v>2.8000000000000398</v>
      </c>
      <c r="N283" s="3">
        <f t="shared" si="52"/>
        <v>2.4000000000000341</v>
      </c>
      <c r="O283" s="3">
        <f t="shared" si="53"/>
        <v>2.0000000000000284</v>
      </c>
      <c r="P283" s="3"/>
      <c r="Q283" s="3">
        <v>54.137999999999998</v>
      </c>
      <c r="R283" s="3"/>
    </row>
    <row r="284" ht="14.25">
      <c r="A284">
        <v>1783818</v>
      </c>
      <c r="B284">
        <v>6</v>
      </c>
      <c r="C284">
        <v>74.659999999999997</v>
      </c>
      <c r="D284">
        <v>80</v>
      </c>
      <c r="E284">
        <v>37.100000000000001</v>
      </c>
      <c r="F284" s="3">
        <f t="shared" si="45"/>
        <v>29.699999999999999</v>
      </c>
      <c r="G284" s="3">
        <f t="shared" si="46"/>
        <v>50.299999999999997</v>
      </c>
      <c r="H284" s="3">
        <v>37.5</v>
      </c>
      <c r="I284" s="3">
        <f t="shared" si="47"/>
        <v>22.100000000000001</v>
      </c>
      <c r="J284" s="3">
        <f t="shared" si="48"/>
        <v>0.39999999999999858</v>
      </c>
      <c r="K284" s="3">
        <f t="shared" si="49"/>
        <v>7.1999999999999744</v>
      </c>
      <c r="L284" s="3">
        <f t="shared" si="50"/>
        <v>6.3999999999999773</v>
      </c>
      <c r="M284" s="3">
        <f t="shared" si="51"/>
        <v>5.5999999999999801</v>
      </c>
      <c r="N284" s="3">
        <f t="shared" si="52"/>
        <v>4.7999999999999829</v>
      </c>
      <c r="O284" s="3">
        <f t="shared" si="53"/>
        <v>3.9999999999999858</v>
      </c>
      <c r="P284" s="3"/>
      <c r="Q284" s="3">
        <v>54.137999999999998</v>
      </c>
      <c r="R284" s="3"/>
    </row>
    <row r="285" ht="14.25">
      <c r="A285">
        <v>1790120</v>
      </c>
      <c r="B285">
        <v>6</v>
      </c>
      <c r="C285">
        <v>74.700000000000003</v>
      </c>
      <c r="D285">
        <v>80</v>
      </c>
      <c r="E285">
        <v>37.200000000000003</v>
      </c>
      <c r="F285" s="3">
        <f t="shared" si="45"/>
        <v>29.800000000000001</v>
      </c>
      <c r="G285" s="3">
        <f t="shared" si="46"/>
        <v>50.299999999999997</v>
      </c>
      <c r="H285" s="3">
        <v>37.5</v>
      </c>
      <c r="I285" s="3">
        <f t="shared" si="47"/>
        <v>22.100000000000001</v>
      </c>
      <c r="J285" s="3">
        <f t="shared" si="48"/>
        <v>0.29999999999999716</v>
      </c>
      <c r="K285" s="3">
        <f t="shared" si="49"/>
        <v>5.3999999999999488</v>
      </c>
      <c r="L285" s="3">
        <f t="shared" si="50"/>
        <v>4.7999999999999545</v>
      </c>
      <c r="M285" s="3">
        <f t="shared" si="51"/>
        <v>4.1999999999999602</v>
      </c>
      <c r="N285" s="3">
        <f t="shared" si="52"/>
        <v>3.5999999999999659</v>
      </c>
      <c r="O285" s="3">
        <f t="shared" si="53"/>
        <v>2.9999999999999716</v>
      </c>
      <c r="P285" s="3"/>
      <c r="Q285" s="3">
        <v>54.137999999999998</v>
      </c>
      <c r="R285" s="3"/>
    </row>
    <row r="286" ht="14.25">
      <c r="A286">
        <v>1796425</v>
      </c>
      <c r="B286">
        <v>4</v>
      </c>
      <c r="C286">
        <v>74.730000000000004</v>
      </c>
      <c r="D286">
        <v>78</v>
      </c>
      <c r="E286">
        <v>37.299999999999997</v>
      </c>
      <c r="F286" s="3">
        <f t="shared" si="45"/>
        <v>29.899999999999999</v>
      </c>
      <c r="G286" s="3">
        <f t="shared" si="46"/>
        <v>49.100000000000001</v>
      </c>
      <c r="H286" s="3">
        <v>37.5</v>
      </c>
      <c r="I286" s="3">
        <f t="shared" si="47"/>
        <v>21.600000000000001</v>
      </c>
      <c r="J286" s="3">
        <f t="shared" si="48"/>
        <v>0.20000000000000284</v>
      </c>
      <c r="K286" s="3">
        <f t="shared" si="49"/>
        <v>3.6000000000000512</v>
      </c>
      <c r="L286" s="3">
        <f t="shared" si="50"/>
        <v>3.2000000000000455</v>
      </c>
      <c r="M286" s="3">
        <f t="shared" si="51"/>
        <v>2.8000000000000398</v>
      </c>
      <c r="N286" s="3">
        <f t="shared" si="52"/>
        <v>2.4000000000000341</v>
      </c>
      <c r="O286" s="3">
        <f t="shared" si="53"/>
        <v>2.0000000000000284</v>
      </c>
      <c r="P286" s="3"/>
      <c r="Q286" s="3">
        <v>54.137999999999998</v>
      </c>
      <c r="R286" s="3"/>
    </row>
    <row r="287" ht="14.25">
      <c r="A287">
        <v>1802729</v>
      </c>
      <c r="B287">
        <v>1.3300000000000001</v>
      </c>
      <c r="C287">
        <v>74.739999999999995</v>
      </c>
      <c r="D287">
        <v>76</v>
      </c>
      <c r="E287">
        <v>37.299999999999997</v>
      </c>
      <c r="F287" s="3">
        <f t="shared" si="45"/>
        <v>30</v>
      </c>
      <c r="G287" s="3">
        <f t="shared" si="46"/>
        <v>47.799999999999997</v>
      </c>
      <c r="H287" s="3">
        <v>37.5</v>
      </c>
      <c r="I287" s="3">
        <f t="shared" si="47"/>
        <v>21</v>
      </c>
      <c r="J287" s="3">
        <f t="shared" si="48"/>
        <v>0.20000000000000284</v>
      </c>
      <c r="K287" s="3">
        <f t="shared" si="49"/>
        <v>3.6000000000000512</v>
      </c>
      <c r="L287" s="3">
        <f t="shared" si="50"/>
        <v>3.2000000000000455</v>
      </c>
      <c r="M287" s="3">
        <f t="shared" si="51"/>
        <v>2.8000000000000398</v>
      </c>
      <c r="N287" s="3">
        <f t="shared" si="52"/>
        <v>2.4000000000000341</v>
      </c>
      <c r="O287" s="3">
        <f t="shared" si="53"/>
        <v>2.0000000000000284</v>
      </c>
      <c r="P287" s="3"/>
      <c r="Q287" s="3">
        <v>54.109999999999999</v>
      </c>
      <c r="R287" s="3"/>
    </row>
    <row r="288" ht="14.25">
      <c r="A288">
        <v>1809033</v>
      </c>
      <c r="B288">
        <v>4</v>
      </c>
      <c r="C288">
        <v>74.760000000000005</v>
      </c>
      <c r="D288">
        <v>78</v>
      </c>
      <c r="E288">
        <v>37.399999999999999</v>
      </c>
      <c r="F288" s="3">
        <f t="shared" si="45"/>
        <v>30.199999999999999</v>
      </c>
      <c r="G288" s="3">
        <f t="shared" si="46"/>
        <v>49.100000000000001</v>
      </c>
      <c r="H288" s="3">
        <v>37.5</v>
      </c>
      <c r="I288" s="3">
        <f t="shared" si="47"/>
        <v>21.600000000000001</v>
      </c>
      <c r="J288" s="3">
        <f t="shared" si="48"/>
        <v>0.10000000000000142</v>
      </c>
      <c r="K288" s="3">
        <f t="shared" si="49"/>
        <v>1.8000000000000256</v>
      </c>
      <c r="L288" s="3">
        <f t="shared" si="50"/>
        <v>1.6000000000000227</v>
      </c>
      <c r="M288" s="3">
        <f t="shared" si="51"/>
        <v>1.4000000000000199</v>
      </c>
      <c r="N288" s="3">
        <f t="shared" si="52"/>
        <v>1.2000000000000171</v>
      </c>
      <c r="O288" s="3">
        <f t="shared" si="53"/>
        <v>1.0000000000000142</v>
      </c>
      <c r="P288" s="3"/>
      <c r="Q288" s="3">
        <v>54.109999999999999</v>
      </c>
      <c r="R288" s="3"/>
    </row>
    <row r="289" ht="14.25">
      <c r="A289">
        <v>1815335</v>
      </c>
      <c r="B289">
        <v>6</v>
      </c>
      <c r="C289">
        <v>74.810000000000002</v>
      </c>
      <c r="D289">
        <v>80</v>
      </c>
      <c r="E289">
        <v>37.200000000000003</v>
      </c>
      <c r="F289" s="3">
        <f t="shared" si="45"/>
        <v>30.300000000000001</v>
      </c>
      <c r="G289" s="3">
        <f t="shared" si="46"/>
        <v>50.299999999999997</v>
      </c>
      <c r="H289" s="3">
        <v>37.5</v>
      </c>
      <c r="I289" s="3">
        <f t="shared" si="47"/>
        <v>22.100000000000001</v>
      </c>
      <c r="J289" s="3">
        <f t="shared" si="48"/>
        <v>0.29999999999999716</v>
      </c>
      <c r="K289" s="3">
        <f t="shared" si="49"/>
        <v>5.3999999999999488</v>
      </c>
      <c r="L289" s="3">
        <f t="shared" si="50"/>
        <v>4.7999999999999545</v>
      </c>
      <c r="M289" s="3">
        <f t="shared" si="51"/>
        <v>4.1999999999999602</v>
      </c>
      <c r="N289" s="3">
        <f t="shared" si="52"/>
        <v>3.5999999999999659</v>
      </c>
      <c r="O289" s="3">
        <f t="shared" si="53"/>
        <v>2.9999999999999716</v>
      </c>
      <c r="P289" s="3"/>
      <c r="Q289" s="3"/>
      <c r="R289" s="3"/>
    </row>
    <row r="290" ht="14.25">
      <c r="A290">
        <v>1821639</v>
      </c>
      <c r="B290">
        <v>5.3300000000000001</v>
      </c>
      <c r="C290">
        <v>74.840000000000003</v>
      </c>
      <c r="D290">
        <v>80</v>
      </c>
      <c r="E290">
        <v>37.299999999999997</v>
      </c>
      <c r="F290" s="3">
        <f t="shared" si="45"/>
        <v>30.399999999999999</v>
      </c>
      <c r="G290" s="3">
        <f t="shared" si="46"/>
        <v>50.299999999999997</v>
      </c>
      <c r="H290" s="3">
        <v>37.5</v>
      </c>
      <c r="I290" s="3">
        <f t="shared" si="47"/>
        <v>22.100000000000001</v>
      </c>
      <c r="J290" s="3">
        <f t="shared" si="48"/>
        <v>0.20000000000000284</v>
      </c>
      <c r="K290" s="3">
        <f t="shared" si="49"/>
        <v>3.6000000000000512</v>
      </c>
      <c r="L290" s="3">
        <f t="shared" si="50"/>
        <v>3.2000000000000455</v>
      </c>
      <c r="M290" s="3">
        <f t="shared" si="51"/>
        <v>2.8000000000000398</v>
      </c>
      <c r="N290" s="3">
        <f t="shared" si="52"/>
        <v>2.4000000000000341</v>
      </c>
      <c r="O290" s="3">
        <f t="shared" si="53"/>
        <v>2.0000000000000284</v>
      </c>
      <c r="P290" s="3"/>
      <c r="Q290" s="3"/>
      <c r="R290" s="3"/>
    </row>
    <row r="291" ht="14.25">
      <c r="A291">
        <v>1827942</v>
      </c>
      <c r="B291">
        <v>4</v>
      </c>
      <c r="C291">
        <v>74.870000000000005</v>
      </c>
      <c r="D291">
        <v>78</v>
      </c>
      <c r="E291">
        <v>37.399999999999999</v>
      </c>
      <c r="F291" s="3">
        <f t="shared" si="45"/>
        <v>30.5</v>
      </c>
      <c r="G291" s="3">
        <f t="shared" si="46"/>
        <v>49.100000000000001</v>
      </c>
      <c r="H291" s="3">
        <v>37.5</v>
      </c>
      <c r="I291" s="3">
        <f t="shared" si="47"/>
        <v>21.600000000000001</v>
      </c>
      <c r="J291" s="3">
        <f t="shared" si="48"/>
        <v>0.10000000000000142</v>
      </c>
      <c r="K291" s="3">
        <f t="shared" si="49"/>
        <v>1.8000000000000256</v>
      </c>
      <c r="L291" s="3">
        <f t="shared" si="50"/>
        <v>1.6000000000000227</v>
      </c>
      <c r="M291" s="3">
        <f t="shared" si="51"/>
        <v>1.4000000000000199</v>
      </c>
      <c r="N291" s="3">
        <f t="shared" si="52"/>
        <v>1.2000000000000171</v>
      </c>
      <c r="O291" s="3">
        <f t="shared" si="53"/>
        <v>1.0000000000000142</v>
      </c>
      <c r="P291" s="3"/>
      <c r="Q291" s="3"/>
      <c r="R291" s="3"/>
    </row>
    <row r="292" ht="14.25">
      <c r="A292">
        <v>1834246</v>
      </c>
      <c r="B292">
        <v>4.6699999999999999</v>
      </c>
      <c r="C292">
        <v>74.900000000000006</v>
      </c>
      <c r="D292">
        <v>79</v>
      </c>
      <c r="E292">
        <v>37.200000000000003</v>
      </c>
      <c r="F292" s="3">
        <f t="shared" ref="F292:F299" si="54">ROUND(A292/60000,1)</f>
        <v>30.600000000000001</v>
      </c>
      <c r="G292" s="3">
        <f t="shared" ref="G292:G299" si="55">ROUND((D292/159)*100,1)</f>
        <v>49.700000000000003</v>
      </c>
      <c r="H292" s="3">
        <v>37.5</v>
      </c>
      <c r="I292" s="3">
        <f t="shared" ref="I292:I299" si="56">ROUND((D292/159)*44,1)</f>
        <v>21.899999999999999</v>
      </c>
      <c r="J292" s="3">
        <f t="shared" ref="J292:J299" si="57">37.5-E292</f>
        <v>0.29999999999999716</v>
      </c>
      <c r="K292" s="3">
        <f t="shared" ref="K292:K299" si="58">J292*18</f>
        <v>5.3999999999999488</v>
      </c>
      <c r="L292" s="3">
        <f t="shared" ref="L292:L299" si="59">J292*16</f>
        <v>4.7999999999999545</v>
      </c>
      <c r="M292" s="3">
        <f t="shared" ref="M292:M299" si="60">J292*14</f>
        <v>4.1999999999999602</v>
      </c>
      <c r="N292" s="3">
        <f t="shared" ref="N292:N299" si="61">J292*12</f>
        <v>3.5999999999999659</v>
      </c>
      <c r="O292" s="3">
        <f t="shared" ref="O292:O299" si="62">J292*10</f>
        <v>2.9999999999999716</v>
      </c>
      <c r="P292" s="3"/>
      <c r="Q292" s="3"/>
      <c r="R292" s="3"/>
    </row>
    <row r="293" ht="14.25">
      <c r="A293">
        <v>1840548</v>
      </c>
      <c r="B293">
        <v>4</v>
      </c>
      <c r="C293">
        <v>74.930000000000007</v>
      </c>
      <c r="D293">
        <v>78</v>
      </c>
      <c r="E293">
        <v>37.299999999999997</v>
      </c>
      <c r="F293" s="3">
        <f t="shared" si="54"/>
        <v>30.699999999999999</v>
      </c>
      <c r="G293" s="3">
        <f t="shared" si="55"/>
        <v>49.100000000000001</v>
      </c>
      <c r="H293" s="3">
        <v>37.5</v>
      </c>
      <c r="I293" s="3">
        <f t="shared" si="56"/>
        <v>21.600000000000001</v>
      </c>
      <c r="J293" s="3">
        <f t="shared" si="57"/>
        <v>0.20000000000000284</v>
      </c>
      <c r="K293" s="3">
        <f t="shared" si="58"/>
        <v>3.6000000000000512</v>
      </c>
      <c r="L293" s="3">
        <f t="shared" si="59"/>
        <v>3.2000000000000455</v>
      </c>
      <c r="M293" s="3">
        <f t="shared" si="60"/>
        <v>2.8000000000000398</v>
      </c>
      <c r="N293" s="3">
        <f t="shared" si="61"/>
        <v>2.4000000000000341</v>
      </c>
      <c r="O293" s="3">
        <f t="shared" si="62"/>
        <v>2.0000000000000284</v>
      </c>
      <c r="P293" s="3"/>
      <c r="Q293" s="3"/>
      <c r="R293" s="3"/>
    </row>
    <row r="294" ht="14.25">
      <c r="A294">
        <v>1846851</v>
      </c>
      <c r="B294">
        <v>5.3300000000000001</v>
      </c>
      <c r="C294">
        <v>74.969999999999999</v>
      </c>
      <c r="D294">
        <v>80</v>
      </c>
      <c r="E294">
        <v>37.200000000000003</v>
      </c>
      <c r="F294" s="3">
        <f t="shared" si="54"/>
        <v>30.800000000000001</v>
      </c>
      <c r="G294" s="3">
        <f t="shared" si="55"/>
        <v>50.299999999999997</v>
      </c>
      <c r="H294" s="3">
        <v>37.5</v>
      </c>
      <c r="I294" s="3">
        <f t="shared" si="56"/>
        <v>22.100000000000001</v>
      </c>
      <c r="J294" s="3">
        <f t="shared" si="57"/>
        <v>0.29999999999999716</v>
      </c>
      <c r="K294" s="3">
        <f t="shared" si="58"/>
        <v>5.3999999999999488</v>
      </c>
      <c r="L294" s="3">
        <f t="shared" si="59"/>
        <v>4.7999999999999545</v>
      </c>
      <c r="M294" s="3">
        <f t="shared" si="60"/>
        <v>4.1999999999999602</v>
      </c>
      <c r="N294" s="3">
        <f t="shared" si="61"/>
        <v>3.5999999999999659</v>
      </c>
      <c r="O294" s="3">
        <f t="shared" si="62"/>
        <v>2.9999999999999716</v>
      </c>
      <c r="P294" s="3"/>
      <c r="Q294" s="3"/>
      <c r="R294" s="3"/>
    </row>
    <row r="295" ht="14.25">
      <c r="A295">
        <v>1853154</v>
      </c>
      <c r="B295">
        <v>5.3300000000000001</v>
      </c>
      <c r="C295">
        <v>75.010000000000005</v>
      </c>
      <c r="D295">
        <v>80</v>
      </c>
      <c r="E295">
        <v>37.200000000000003</v>
      </c>
      <c r="F295" s="3">
        <f t="shared" si="54"/>
        <v>30.899999999999999</v>
      </c>
      <c r="G295" s="3">
        <f t="shared" si="55"/>
        <v>50.299999999999997</v>
      </c>
      <c r="H295" s="3">
        <v>37.5</v>
      </c>
      <c r="I295" s="3">
        <f t="shared" si="56"/>
        <v>22.100000000000001</v>
      </c>
      <c r="J295" s="3">
        <f t="shared" si="57"/>
        <v>0.29999999999999716</v>
      </c>
      <c r="K295" s="3">
        <f t="shared" si="58"/>
        <v>5.3999999999999488</v>
      </c>
      <c r="L295" s="3">
        <f t="shared" si="59"/>
        <v>4.7999999999999545</v>
      </c>
      <c r="M295" s="3">
        <f t="shared" si="60"/>
        <v>4.1999999999999602</v>
      </c>
      <c r="N295" s="3">
        <f t="shared" si="61"/>
        <v>3.5999999999999659</v>
      </c>
      <c r="O295" s="3">
        <f t="shared" si="62"/>
        <v>2.9999999999999716</v>
      </c>
      <c r="P295" s="3"/>
      <c r="Q295" s="3"/>
      <c r="R295" s="3"/>
    </row>
    <row r="296" ht="14.25">
      <c r="A296">
        <v>1859458</v>
      </c>
      <c r="B296">
        <v>4</v>
      </c>
      <c r="C296">
        <v>75.040000000000006</v>
      </c>
      <c r="D296">
        <v>79</v>
      </c>
      <c r="E296">
        <v>37.299999999999997</v>
      </c>
      <c r="F296" s="3">
        <f t="shared" si="54"/>
        <v>31</v>
      </c>
      <c r="G296" s="3">
        <f t="shared" si="55"/>
        <v>49.700000000000003</v>
      </c>
      <c r="H296" s="3">
        <v>37.5</v>
      </c>
      <c r="I296" s="3">
        <f t="shared" si="56"/>
        <v>21.899999999999999</v>
      </c>
      <c r="J296" s="3">
        <f t="shared" si="57"/>
        <v>0.20000000000000284</v>
      </c>
      <c r="K296" s="3">
        <f t="shared" si="58"/>
        <v>3.6000000000000512</v>
      </c>
      <c r="L296" s="3">
        <f t="shared" si="59"/>
        <v>3.2000000000000455</v>
      </c>
      <c r="M296" s="3">
        <f t="shared" si="60"/>
        <v>2.8000000000000398</v>
      </c>
      <c r="N296" s="3">
        <f t="shared" si="61"/>
        <v>2.4000000000000341</v>
      </c>
      <c r="O296" s="3">
        <f t="shared" si="62"/>
        <v>2.0000000000000284</v>
      </c>
      <c r="P296" s="3"/>
      <c r="Q296" s="3"/>
      <c r="R296" s="3"/>
    </row>
    <row r="297" ht="14.25">
      <c r="A297">
        <v>1865760</v>
      </c>
      <c r="B297">
        <v>1.3300000000000001</v>
      </c>
      <c r="C297">
        <v>75.040000000000006</v>
      </c>
      <c r="D297">
        <v>76</v>
      </c>
      <c r="E297">
        <v>37.700000000000003</v>
      </c>
      <c r="F297" s="3">
        <f t="shared" si="54"/>
        <v>31.100000000000001</v>
      </c>
      <c r="G297" s="3">
        <f t="shared" si="55"/>
        <v>47.799999999999997</v>
      </c>
      <c r="H297" s="3">
        <v>37.5</v>
      </c>
      <c r="I297" s="3">
        <f t="shared" si="56"/>
        <v>21</v>
      </c>
      <c r="J297" s="3">
        <f t="shared" si="57"/>
        <v>-0.20000000000000284</v>
      </c>
      <c r="K297" s="3">
        <f t="shared" si="58"/>
        <v>-3.6000000000000512</v>
      </c>
      <c r="L297" s="3">
        <f t="shared" si="59"/>
        <v>-3.2000000000000455</v>
      </c>
      <c r="M297" s="3">
        <f t="shared" si="60"/>
        <v>-2.8000000000000398</v>
      </c>
      <c r="N297" s="3">
        <f t="shared" si="61"/>
        <v>-2.4000000000000341</v>
      </c>
      <c r="O297" s="3">
        <f t="shared" si="62"/>
        <v>-2.0000000000000284</v>
      </c>
      <c r="P297" s="3"/>
      <c r="Q297" s="3"/>
      <c r="R297" s="3"/>
    </row>
    <row r="298" ht="14.25">
      <c r="A298">
        <v>1872063</v>
      </c>
      <c r="B298">
        <v>4.6699999999999999</v>
      </c>
      <c r="C298">
        <v>75.079999999999998</v>
      </c>
      <c r="D298">
        <v>79</v>
      </c>
      <c r="E298">
        <v>37.200000000000003</v>
      </c>
      <c r="F298" s="3">
        <f t="shared" si="54"/>
        <v>31.199999999999999</v>
      </c>
      <c r="G298" s="3">
        <f t="shared" si="55"/>
        <v>49.700000000000003</v>
      </c>
      <c r="H298" s="3">
        <v>37.5</v>
      </c>
      <c r="I298" s="3">
        <f t="shared" si="56"/>
        <v>21.899999999999999</v>
      </c>
      <c r="J298" s="3">
        <f t="shared" si="57"/>
        <v>0.29999999999999716</v>
      </c>
      <c r="K298" s="3">
        <f t="shared" si="58"/>
        <v>5.3999999999999488</v>
      </c>
      <c r="L298" s="3">
        <f t="shared" si="59"/>
        <v>4.7999999999999545</v>
      </c>
      <c r="M298" s="3">
        <f t="shared" si="60"/>
        <v>4.1999999999999602</v>
      </c>
      <c r="N298" s="3">
        <f t="shared" si="61"/>
        <v>3.5999999999999659</v>
      </c>
      <c r="O298" s="3">
        <f t="shared" si="62"/>
        <v>2.9999999999999716</v>
      </c>
      <c r="P298" s="3"/>
      <c r="Q298" s="3"/>
      <c r="R298" s="3"/>
    </row>
    <row r="299" ht="14.25">
      <c r="A299">
        <v>1878367</v>
      </c>
      <c r="B299">
        <v>2.6699999999999999</v>
      </c>
      <c r="C299">
        <v>75.099999999999994</v>
      </c>
      <c r="D299">
        <v>77</v>
      </c>
      <c r="E299">
        <v>37.200000000000003</v>
      </c>
      <c r="F299" s="3">
        <f t="shared" si="54"/>
        <v>31.300000000000001</v>
      </c>
      <c r="G299" s="3">
        <f t="shared" si="55"/>
        <v>48.399999999999999</v>
      </c>
      <c r="H299" s="3">
        <v>37.5</v>
      </c>
      <c r="I299" s="3">
        <f t="shared" si="56"/>
        <v>21.300000000000001</v>
      </c>
      <c r="J299" s="3">
        <f t="shared" si="57"/>
        <v>0.29999999999999716</v>
      </c>
      <c r="K299" s="3">
        <f t="shared" si="58"/>
        <v>5.3999999999999488</v>
      </c>
      <c r="L299" s="3">
        <f t="shared" si="59"/>
        <v>4.7999999999999545</v>
      </c>
      <c r="M299" s="3">
        <f t="shared" si="60"/>
        <v>4.1999999999999602</v>
      </c>
      <c r="N299" s="3">
        <f t="shared" si="61"/>
        <v>3.5999999999999659</v>
      </c>
      <c r="O299" s="3">
        <f t="shared" si="62"/>
        <v>2.9999999999999716</v>
      </c>
      <c r="P299" s="3"/>
      <c r="Q299" s="3"/>
      <c r="R299" s="3"/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5</cp:revision>
  <dcterms:modified xsi:type="dcterms:W3CDTF">2026-06-07T15:17:46Z</dcterms:modified>
</cp:coreProperties>
</file>