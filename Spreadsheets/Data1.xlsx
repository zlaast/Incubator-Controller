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<sst xmlns="http://schemas.openxmlformats.org/spreadsheetml/2006/main" count="18" uniqueCount="18">
  <si>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Time (ms)</t>
  </si>
  <si>
    <t xml:space="preserve">P Term (Kp=20)</t>
  </si>
  <si>
    <t xml:space="preserve">I Term (Ki=0.2)</t>
  </si>
  <si>
    <t xml:space="preserve">Duty Cycle (/159)</t>
  </si>
  <si>
    <t xml:space="preserve">Temperature (C)</t>
  </si>
  <si>
    <t xml:space="preserve">Time (Minutes)</t>
  </si>
  <si>
    <t xml:space="preserve">Duty Cycle (%)</t>
  </si>
  <si>
    <t xml:space="preserve">Setpoint (C)</t>
  </si>
  <si>
    <t xml:space="preserve">Power (W)</t>
  </si>
  <si>
    <t xml:space="preserve">Error (C)</t>
  </si>
  <si>
    <t xml:space="preserve">Fake Ki (0.18)</t>
  </si>
  <si>
    <t xml:space="preserve">Fake Ki (0.16)</t>
  </si>
  <si>
    <t xml:space="preserve">Fake Ki (0.14)</t>
  </si>
  <si>
    <t xml:space="preserve">Fake Ki (0.12)</t>
  </si>
  <si>
    <t xml:space="preserve">Fake I (0.18)</t>
  </si>
  <si>
    <t xml:space="preserve">Fake I (0.16)</t>
  </si>
  <si>
    <t xml:space="preserve">Fake I (0.14)</t>
  </si>
  <si>
    <t xml:space="preserve">Fake I (0.12)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</si>
</sst>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7" tint="0"/>
        <bgColor theme="7" tint="0"/>
      </patternFill>
    </fill>
    <fill>
      <patternFill patternType="solid">
        <fgColor theme="2" tint="-0.499984740745262"/>
        <bgColor theme="2" tint="-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2" borderId="0" numFmtId="0" xfId="0" applyFill="1"/>
    <xf fontId="0" fillId="3" borderId="0" numFmtId="0" xfId="0" applyFill="1"/>
    <xf fontId="0" fillId="4" borderId="0" numFmtId="0" xfId="0" applyFill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Temperature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Temperature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4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Sheet1!$F$2:$F$288</c:f>
              <c:numCache>
                <c:formatCode>General</c:formatCode>
                <c:ptCount val="28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  <c:pt idx="285">
                  <c:v>30</c:v>
                </c:pt>
                <c:pt idx="286">
                  <c:v>30.2</c:v>
                </c:pt>
              </c:numCache>
            </c:numRef>
          </c:cat>
          <c:val>
            <c:numRef>
              <c:f>Sheet1!$E$2:$E$288</c:f>
              <c:numCache>
                <c:formatCode>General</c:formatCode>
                <c:ptCount val="287"/>
                <c:pt idx="0">
                  <c:v>24.6</c:v>
                </c:pt>
                <c:pt idx="1">
                  <c:v>24.5</c:v>
                </c:pt>
                <c:pt idx="2">
                  <c:v>24.8</c:v>
                </c:pt>
                <c:pt idx="3">
                  <c:v>24.4</c:v>
                </c:pt>
                <c:pt idx="4">
                  <c:v>24.8</c:v>
                </c:pt>
                <c:pt idx="5">
                  <c:v>24.5</c:v>
                </c:pt>
                <c:pt idx="6">
                  <c:v>25</c:v>
                </c:pt>
                <c:pt idx="7">
                  <c:v>24.6</c:v>
                </c:pt>
                <c:pt idx="8">
                  <c:v>24.7</c:v>
                </c:pt>
                <c:pt idx="9">
                  <c:v>25</c:v>
                </c:pt>
                <c:pt idx="10">
                  <c:v>25</c:v>
                </c:pt>
                <c:pt idx="11">
                  <c:v>25.2</c:v>
                </c:pt>
                <c:pt idx="12">
                  <c:v>25.2</c:v>
                </c:pt>
                <c:pt idx="13">
                  <c:v>25.1</c:v>
                </c:pt>
                <c:pt idx="14">
                  <c:v>25.5</c:v>
                </c:pt>
                <c:pt idx="15">
                  <c:v>25.9</c:v>
                </c:pt>
                <c:pt idx="16">
                  <c:v>25.8</c:v>
                </c:pt>
                <c:pt idx="17">
                  <c:v>26</c:v>
                </c:pt>
                <c:pt idx="18">
                  <c:v>26.3</c:v>
                </c:pt>
                <c:pt idx="19">
                  <c:v>26.3</c:v>
                </c:pt>
                <c:pt idx="20">
                  <c:v>26.5</c:v>
                </c:pt>
                <c:pt idx="21">
                  <c:v>26.6</c:v>
                </c:pt>
                <c:pt idx="22">
                  <c:v>26.9</c:v>
                </c:pt>
                <c:pt idx="23">
                  <c:v>27.1</c:v>
                </c:pt>
                <c:pt idx="24">
                  <c:v>27.1</c:v>
                </c:pt>
                <c:pt idx="25">
                  <c:v>27.5</c:v>
                </c:pt>
                <c:pt idx="26">
                  <c:v>27.7</c:v>
                </c:pt>
                <c:pt idx="27">
                  <c:v>27.9</c:v>
                </c:pt>
                <c:pt idx="28">
                  <c:v>28.3</c:v>
                </c:pt>
                <c:pt idx="29">
                  <c:v>28.5</c:v>
                </c:pt>
                <c:pt idx="30">
                  <c:v>28.6</c:v>
                </c:pt>
                <c:pt idx="31">
                  <c:v>28.6</c:v>
                </c:pt>
                <c:pt idx="32">
                  <c:v>28.8</c:v>
                </c:pt>
                <c:pt idx="33">
                  <c:v>29.4</c:v>
                </c:pt>
                <c:pt idx="34">
                  <c:v>29.6</c:v>
                </c:pt>
                <c:pt idx="35">
                  <c:v>29.8</c:v>
                </c:pt>
                <c:pt idx="36">
                  <c:v>30.2</c:v>
                </c:pt>
                <c:pt idx="37">
                  <c:v>30.3</c:v>
                </c:pt>
                <c:pt idx="38">
                  <c:v>30.5</c:v>
                </c:pt>
                <c:pt idx="39">
                  <c:v>30.9</c:v>
                </c:pt>
                <c:pt idx="40">
                  <c:v>31.1</c:v>
                </c:pt>
                <c:pt idx="41">
                  <c:v>31.3</c:v>
                </c:pt>
                <c:pt idx="42">
                  <c:v>31.7</c:v>
                </c:pt>
                <c:pt idx="43">
                  <c:v>31.8</c:v>
                </c:pt>
                <c:pt idx="44">
                  <c:v>31.7</c:v>
                </c:pt>
                <c:pt idx="45">
                  <c:v>32.4</c:v>
                </c:pt>
                <c:pt idx="46">
                  <c:v>32.6</c:v>
                </c:pt>
                <c:pt idx="47">
                  <c:v>32.9</c:v>
                </c:pt>
                <c:pt idx="48">
                  <c:v>33.5</c:v>
                </c:pt>
                <c:pt idx="49">
                  <c:v>33.2</c:v>
                </c:pt>
                <c:pt idx="50">
                  <c:v>33.4</c:v>
                </c:pt>
                <c:pt idx="51">
                  <c:v>34</c:v>
                </c:pt>
                <c:pt idx="52">
                  <c:v>34.1</c:v>
                </c:pt>
                <c:pt idx="53">
                  <c:v>34.3</c:v>
                </c:pt>
                <c:pt idx="54">
                  <c:v>34.8</c:v>
                </c:pt>
                <c:pt idx="55">
                  <c:v>34.8</c:v>
                </c:pt>
                <c:pt idx="56">
                  <c:v>35.4</c:v>
                </c:pt>
                <c:pt idx="57">
                  <c:v>35.5</c:v>
                </c:pt>
                <c:pt idx="58">
                  <c:v>35.3</c:v>
                </c:pt>
                <c:pt idx="59">
                  <c:v>35.7</c:v>
                </c:pt>
                <c:pt idx="60">
                  <c:v>36.3</c:v>
                </c:pt>
                <c:pt idx="61">
                  <c:v>36.3</c:v>
                </c:pt>
                <c:pt idx="62">
                  <c:v>36.5</c:v>
                </c:pt>
                <c:pt idx="63">
                  <c:v>36.9</c:v>
                </c:pt>
                <c:pt idx="64">
                  <c:v>37</c:v>
                </c:pt>
                <c:pt idx="65">
                  <c:v>37.3</c:v>
                </c:pt>
                <c:pt idx="66">
                  <c:v>37.5</c:v>
                </c:pt>
                <c:pt idx="67">
                  <c:v>37.7</c:v>
                </c:pt>
                <c:pt idx="68">
                  <c:v>38.2</c:v>
                </c:pt>
                <c:pt idx="69">
                  <c:v>38</c:v>
                </c:pt>
                <c:pt idx="70">
                  <c:v>38.6</c:v>
                </c:pt>
                <c:pt idx="71">
                  <c:v>38.3</c:v>
                </c:pt>
                <c:pt idx="72">
                  <c:v>38.8</c:v>
                </c:pt>
                <c:pt idx="73">
                  <c:v>38.9</c:v>
                </c:pt>
                <c:pt idx="74">
                  <c:v>39.1</c:v>
                </c:pt>
                <c:pt idx="75">
                  <c:v>39.2</c:v>
                </c:pt>
                <c:pt idx="76">
                  <c:v>39.1</c:v>
                </c:pt>
                <c:pt idx="77">
                  <c:v>39.5</c:v>
                </c:pt>
                <c:pt idx="78">
                  <c:v>39.5</c:v>
                </c:pt>
                <c:pt idx="79">
                  <c:v>39.9</c:v>
                </c:pt>
                <c:pt idx="80">
                  <c:v>39.9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40.3</c:v>
                </c:pt>
                <c:pt idx="85">
                  <c:v>40.4</c:v>
                </c:pt>
                <c:pt idx="86">
                  <c:v>40.5</c:v>
                </c:pt>
                <c:pt idx="87">
                  <c:v>40.6</c:v>
                </c:pt>
                <c:pt idx="88">
                  <c:v>40.8</c:v>
                </c:pt>
                <c:pt idx="89">
                  <c:v>40.8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41.2</c:v>
                </c:pt>
                <c:pt idx="94">
                  <c:v>40.7</c:v>
                </c:pt>
                <c:pt idx="95">
                  <c:v>40.8</c:v>
                </c:pt>
                <c:pt idx="96">
                  <c:v>40.8</c:v>
                </c:pt>
                <c:pt idx="97">
                  <c:v>40.5</c:v>
                </c:pt>
                <c:pt idx="98">
                  <c:v>40.8</c:v>
                </c:pt>
                <c:pt idx="99">
                  <c:v>40.6</c:v>
                </c:pt>
                <c:pt idx="100">
                  <c:v>40.5</c:v>
                </c:pt>
                <c:pt idx="101">
                  <c:v>40.6</c:v>
                </c:pt>
                <c:pt idx="102">
                  <c:v>40.8</c:v>
                </c:pt>
                <c:pt idx="103">
                  <c:v>40.7</c:v>
                </c:pt>
                <c:pt idx="104">
                  <c:v>40.8</c:v>
                </c:pt>
                <c:pt idx="105">
                  <c:v>40.6</c:v>
                </c:pt>
                <c:pt idx="106">
                  <c:v>40.5</c:v>
                </c:pt>
                <c:pt idx="107">
                  <c:v>40.4</c:v>
                </c:pt>
                <c:pt idx="108">
                  <c:v>40.4</c:v>
                </c:pt>
                <c:pt idx="109">
                  <c:v>40.5</c:v>
                </c:pt>
                <c:pt idx="110">
                  <c:v>40.1</c:v>
                </c:pt>
                <c:pt idx="111">
                  <c:v>40.3</c:v>
                </c:pt>
                <c:pt idx="112">
                  <c:v>40</c:v>
                </c:pt>
                <c:pt idx="113">
                  <c:v>40.1</c:v>
                </c:pt>
                <c:pt idx="114">
                  <c:v>40.1</c:v>
                </c:pt>
                <c:pt idx="115">
                  <c:v>40</c:v>
                </c:pt>
                <c:pt idx="116">
                  <c:v>39.9</c:v>
                </c:pt>
                <c:pt idx="117">
                  <c:v>39.8</c:v>
                </c:pt>
                <c:pt idx="118">
                  <c:v>39.6</c:v>
                </c:pt>
                <c:pt idx="119">
                  <c:v>39.7</c:v>
                </c:pt>
                <c:pt idx="120">
                  <c:v>39.6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39.2</c:v>
                </c:pt>
                <c:pt idx="125">
                  <c:v>39.2</c:v>
                </c:pt>
                <c:pt idx="126">
                  <c:v>39.1</c:v>
                </c:pt>
                <c:pt idx="127">
                  <c:v>39.1</c:v>
                </c:pt>
                <c:pt idx="128">
                  <c:v>39</c:v>
                </c:pt>
                <c:pt idx="129">
                  <c:v>39</c:v>
                </c:pt>
                <c:pt idx="130">
                  <c:v>38.8</c:v>
                </c:pt>
                <c:pt idx="131">
                  <c:v>38.8</c:v>
                </c:pt>
                <c:pt idx="132">
                  <c:v>38.8</c:v>
                </c:pt>
                <c:pt idx="133">
                  <c:v>38.7</c:v>
                </c:pt>
                <c:pt idx="134">
                  <c:v>38.5</c:v>
                </c:pt>
                <c:pt idx="135">
                  <c:v>38.3</c:v>
                </c:pt>
                <c:pt idx="136">
                  <c:v>38.3</c:v>
                </c:pt>
                <c:pt idx="137">
                  <c:v>38.3</c:v>
                </c:pt>
                <c:pt idx="138">
                  <c:v>38.5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37.9</c:v>
                </c:pt>
                <c:pt idx="144">
                  <c:v>37.8</c:v>
                </c:pt>
                <c:pt idx="145">
                  <c:v>37.8</c:v>
                </c:pt>
                <c:pt idx="146">
                  <c:v>37.6</c:v>
                </c:pt>
                <c:pt idx="147">
                  <c:v>37.8</c:v>
                </c:pt>
                <c:pt idx="148">
                  <c:v>37.7</c:v>
                </c:pt>
                <c:pt idx="149">
                  <c:v>37.9</c:v>
                </c:pt>
                <c:pt idx="150">
                  <c:v>37.5</c:v>
                </c:pt>
                <c:pt idx="151">
                  <c:v>37.5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37.2</c:v>
                </c:pt>
                <c:pt idx="156">
                  <c:v>37.3</c:v>
                </c:pt>
                <c:pt idx="157">
                  <c:v>37.3</c:v>
                </c:pt>
                <c:pt idx="158">
                  <c:v>37.2</c:v>
                </c:pt>
                <c:pt idx="159">
                  <c:v>37.2</c:v>
                </c:pt>
                <c:pt idx="160">
                  <c:v>37.1</c:v>
                </c:pt>
                <c:pt idx="161">
                  <c:v>37</c:v>
                </c:pt>
                <c:pt idx="162">
                  <c:v>36.9</c:v>
                </c:pt>
                <c:pt idx="163">
                  <c:v>37.1</c:v>
                </c:pt>
                <c:pt idx="164">
                  <c:v>36.9</c:v>
                </c:pt>
                <c:pt idx="165">
                  <c:v>37.1</c:v>
                </c:pt>
                <c:pt idx="166">
                  <c:v>37</c:v>
                </c:pt>
                <c:pt idx="167">
                  <c:v>36.8</c:v>
                </c:pt>
                <c:pt idx="168">
                  <c:v>36.9</c:v>
                </c:pt>
                <c:pt idx="169">
                  <c:v>37.1</c:v>
                </c:pt>
                <c:pt idx="170">
                  <c:v>36.8</c:v>
                </c:pt>
                <c:pt idx="171">
                  <c:v>36.3</c:v>
                </c:pt>
                <c:pt idx="172">
                  <c:v>36.9</c:v>
                </c:pt>
                <c:pt idx="173">
                  <c:v>36.9</c:v>
                </c:pt>
                <c:pt idx="174">
                  <c:v>36.7</c:v>
                </c:pt>
                <c:pt idx="175">
                  <c:v>36.7</c:v>
                </c:pt>
                <c:pt idx="176">
                  <c:v>36.8</c:v>
                </c:pt>
                <c:pt idx="177">
                  <c:v>36.8</c:v>
                </c:pt>
                <c:pt idx="178">
                  <c:v>36.7</c:v>
                </c:pt>
                <c:pt idx="179">
                  <c:v>36.6</c:v>
                </c:pt>
                <c:pt idx="180">
                  <c:v>36.9</c:v>
                </c:pt>
                <c:pt idx="181">
                  <c:v>36.8</c:v>
                </c:pt>
                <c:pt idx="182">
                  <c:v>36.7</c:v>
                </c:pt>
                <c:pt idx="183">
                  <c:v>36.5</c:v>
                </c:pt>
                <c:pt idx="184">
                  <c:v>36.7</c:v>
                </c:pt>
                <c:pt idx="185">
                  <c:v>36.8</c:v>
                </c:pt>
                <c:pt idx="186">
                  <c:v>36.5</c:v>
                </c:pt>
                <c:pt idx="187">
                  <c:v>36.7</c:v>
                </c:pt>
                <c:pt idx="188">
                  <c:v>36.9</c:v>
                </c:pt>
                <c:pt idx="189">
                  <c:v>36.7</c:v>
                </c:pt>
                <c:pt idx="190">
                  <c:v>36.8</c:v>
                </c:pt>
                <c:pt idx="191">
                  <c:v>36.6</c:v>
                </c:pt>
                <c:pt idx="192">
                  <c:v>36.9</c:v>
                </c:pt>
                <c:pt idx="193">
                  <c:v>36.9</c:v>
                </c:pt>
                <c:pt idx="194">
                  <c:v>36.8</c:v>
                </c:pt>
                <c:pt idx="195">
                  <c:v>36.5</c:v>
                </c:pt>
                <c:pt idx="196">
                  <c:v>36.4</c:v>
                </c:pt>
                <c:pt idx="197">
                  <c:v>36.8</c:v>
                </c:pt>
                <c:pt idx="198">
                  <c:v>36.3</c:v>
                </c:pt>
                <c:pt idx="199">
                  <c:v>37</c:v>
                </c:pt>
                <c:pt idx="200">
                  <c:v>36.9</c:v>
                </c:pt>
                <c:pt idx="201">
                  <c:v>36.7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37.2</c:v>
                </c:pt>
                <c:pt idx="217">
                  <c:v>37.1</c:v>
                </c:pt>
                <c:pt idx="218">
                  <c:v>37.2</c:v>
                </c:pt>
                <c:pt idx="219">
                  <c:v>37.2</c:v>
                </c:pt>
                <c:pt idx="220">
                  <c:v>37.2</c:v>
                </c:pt>
                <c:pt idx="221">
                  <c:v>37.2</c:v>
                </c:pt>
                <c:pt idx="222">
                  <c:v>37.2</c:v>
                </c:pt>
                <c:pt idx="223">
                  <c:v>37.3</c:v>
                </c:pt>
                <c:pt idx="224">
                  <c:v>37.2</c:v>
                </c:pt>
                <c:pt idx="225">
                  <c:v>37.3</c:v>
                </c:pt>
                <c:pt idx="226">
                  <c:v>37.4</c:v>
                </c:pt>
                <c:pt idx="227">
                  <c:v>37.2</c:v>
                </c:pt>
                <c:pt idx="228">
                  <c:v>37.5</c:v>
                </c:pt>
                <c:pt idx="229">
                  <c:v>37.3</c:v>
                </c:pt>
                <c:pt idx="230">
                  <c:v>37.6</c:v>
                </c:pt>
                <c:pt idx="231">
                  <c:v>37.4</c:v>
                </c:pt>
                <c:pt idx="232">
                  <c:v>37.5</c:v>
                </c:pt>
                <c:pt idx="233">
                  <c:v>37.4</c:v>
                </c:pt>
                <c:pt idx="234">
                  <c:v>37.3</c:v>
                </c:pt>
                <c:pt idx="235">
                  <c:v>37.4</c:v>
                </c:pt>
                <c:pt idx="236">
                  <c:v>37.7</c:v>
                </c:pt>
                <c:pt idx="237">
                  <c:v>37.5</c:v>
                </c:pt>
                <c:pt idx="238">
                  <c:v>37.5</c:v>
                </c:pt>
                <c:pt idx="239">
                  <c:v>37.4</c:v>
                </c:pt>
                <c:pt idx="240">
                  <c:v>37.6</c:v>
                </c:pt>
                <c:pt idx="241">
                  <c:v>37.6</c:v>
                </c:pt>
                <c:pt idx="242">
                  <c:v>37.7</c:v>
                </c:pt>
                <c:pt idx="243">
                  <c:v>37.4</c:v>
                </c:pt>
                <c:pt idx="244">
                  <c:v>37.7</c:v>
                </c:pt>
                <c:pt idx="245">
                  <c:v>37.5</c:v>
                </c:pt>
                <c:pt idx="246">
                  <c:v>37.7</c:v>
                </c:pt>
                <c:pt idx="247">
                  <c:v>37.7</c:v>
                </c:pt>
                <c:pt idx="248">
                  <c:v>37.6</c:v>
                </c:pt>
                <c:pt idx="249">
                  <c:v>37.6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37.6</c:v>
                </c:pt>
                <c:pt idx="254">
                  <c:v>37.6</c:v>
                </c:pt>
                <c:pt idx="255">
                  <c:v>38</c:v>
                </c:pt>
                <c:pt idx="256">
                  <c:v>37.6</c:v>
                </c:pt>
                <c:pt idx="257">
                  <c:v>37.5</c:v>
                </c:pt>
                <c:pt idx="258">
                  <c:v>37.6</c:v>
                </c:pt>
                <c:pt idx="259">
                  <c:v>37.5</c:v>
                </c:pt>
                <c:pt idx="260">
                  <c:v>37.5</c:v>
                </c:pt>
                <c:pt idx="261">
                  <c:v>37.8</c:v>
                </c:pt>
                <c:pt idx="262">
                  <c:v>37.7</c:v>
                </c:pt>
                <c:pt idx="263">
                  <c:v>37.6</c:v>
                </c:pt>
                <c:pt idx="264">
                  <c:v>37.6</c:v>
                </c:pt>
                <c:pt idx="265">
                  <c:v>37.4</c:v>
                </c:pt>
                <c:pt idx="266">
                  <c:v>37.4</c:v>
                </c:pt>
                <c:pt idx="267">
                  <c:v>37.6</c:v>
                </c:pt>
                <c:pt idx="268">
                  <c:v>37.5</c:v>
                </c:pt>
                <c:pt idx="269">
                  <c:v>37.3</c:v>
                </c:pt>
                <c:pt idx="270">
                  <c:v>37.7</c:v>
                </c:pt>
                <c:pt idx="271">
                  <c:v>37.6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37.4</c:v>
                </c:pt>
                <c:pt idx="278">
                  <c:v>37.2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37.7</c:v>
                </c:pt>
                <c:pt idx="285">
                  <c:v>37.5</c:v>
                </c:pt>
                <c:pt idx="286">
                  <c:v>37.5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Setpoint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6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Sheet1!$F$2:$F$288</c:f>
              <c:numCache>
                <c:formatCode>General</c:formatCode>
                <c:ptCount val="28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  <c:pt idx="285">
                  <c:v>30</c:v>
                </c:pt>
                <c:pt idx="286">
                  <c:v>30.2</c:v>
                </c:pt>
              </c:numCache>
            </c:numRef>
          </c:cat>
          <c:val>
            <c:numRef>
              <c:f>Sheet1!$H$2:$H$288</c:f>
              <c:numCache>
                <c:formatCode>General</c:formatCode>
                <c:ptCount val="287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37.5</c:v>
                </c:pt>
                <c:pt idx="6">
                  <c:v>37.5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37.5</c:v>
                </c:pt>
                <c:pt idx="31">
                  <c:v>37.5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</c:numCache>
            </c:numRef>
          </c: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1"/>
        <c:axId val="1001"/>
        <c:axId val="1002"/>
      </c:lineChart>
      <c:catAx>
        <c:axId val="10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1002"/>
        <c:scaling>
          <c:orientation val="minMax"/>
          <c:min val="2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</a:gsLst>
                <a:lin ang="5400000" scaled="0"/>
              </a:gra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Temperature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17460"/>
      <a:ext cx="10029824" cy="5402263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1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PI Raw Output and Duty Cycle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 Term (Kp=20)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Sheet1!$F$2:$F$288</c:f>
              <c:numCache>
                <c:formatCode>General</c:formatCode>
                <c:ptCount val="28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  <c:pt idx="285">
                  <c:v>30</c:v>
                </c:pt>
                <c:pt idx="286">
                  <c:v>30.2</c:v>
                </c:pt>
              </c:numCache>
            </c:numRef>
          </c:cat>
          <c:val>
            <c:numRef>
              <c:f>Sheet1!$B$2:$B$288</c:f>
              <c:numCache>
                <c:formatCode>General</c:formatCode>
                <c:ptCount val="287"/>
                <c:pt idx="0">
                  <c:v>256.67</c:v>
                </c:pt>
                <c:pt idx="1">
                  <c:v>259.33</c:v>
                </c:pt>
                <c:pt idx="2">
                  <c:v>256.67</c:v>
                </c:pt>
                <c:pt idx="3">
                  <c:v>259.33</c:v>
                </c:pt>
                <c:pt idx="4">
                  <c:v>256.67</c:v>
                </c:pt>
                <c:pt idx="5">
                  <c:v>255.33</c:v>
                </c:pt>
                <c:pt idx="6">
                  <c:v>253.33</c:v>
                </c:pt>
                <c:pt idx="7">
                  <c:v>255.33</c:v>
                </c:pt>
                <c:pt idx="8">
                  <c:v>254</c:v>
                </c:pt>
                <c:pt idx="9">
                  <c:v>249.33</c:v>
                </c:pt>
                <c:pt idx="10">
                  <c:v>250</c:v>
                </c:pt>
                <c:pt idx="11">
                  <c:v>246.67</c:v>
                </c:pt>
                <c:pt idx="12">
                  <c:v>246.67</c:v>
                </c:pt>
                <c:pt idx="13">
                  <c:v>246</c:v>
                </c:pt>
                <c:pt idx="14">
                  <c:v>240</c:v>
                </c:pt>
                <c:pt idx="15">
                  <c:v>236.67</c:v>
                </c:pt>
                <c:pt idx="16">
                  <c:v>236</c:v>
                </c:pt>
                <c:pt idx="17">
                  <c:v>232</c:v>
                </c:pt>
                <c:pt idx="18">
                  <c:v>226.67</c:v>
                </c:pt>
                <c:pt idx="19">
                  <c:v>225.33</c:v>
                </c:pt>
                <c:pt idx="20">
                  <c:v>220</c:v>
                </c:pt>
                <c:pt idx="21">
                  <c:v>218.67</c:v>
                </c:pt>
                <c:pt idx="22">
                  <c:v>212.67</c:v>
                </c:pt>
                <c:pt idx="23">
                  <c:v>207.33</c:v>
                </c:pt>
                <c:pt idx="24">
                  <c:v>206.67</c:v>
                </c:pt>
                <c:pt idx="25">
                  <c:v>200</c:v>
                </c:pt>
                <c:pt idx="26">
                  <c:v>196.67</c:v>
                </c:pt>
                <c:pt idx="27">
                  <c:v>192.67</c:v>
                </c:pt>
                <c:pt idx="28">
                  <c:v>188</c:v>
                </c:pt>
                <c:pt idx="29">
                  <c:v>182.67</c:v>
                </c:pt>
                <c:pt idx="30">
                  <c:v>180</c:v>
                </c:pt>
                <c:pt idx="31">
                  <c:v>176</c:v>
                </c:pt>
                <c:pt idx="32">
                  <c:v>172.67</c:v>
                </c:pt>
                <c:pt idx="33">
                  <c:v>164</c:v>
                </c:pt>
                <c:pt idx="34">
                  <c:v>162</c:v>
                </c:pt>
                <c:pt idx="35">
                  <c:v>155.33</c:v>
                </c:pt>
                <c:pt idx="36">
                  <c:v>149.33</c:v>
                </c:pt>
                <c:pt idx="37">
                  <c:v>146</c:v>
                </c:pt>
                <c:pt idx="38">
                  <c:v>140.67</c:v>
                </c:pt>
                <c:pt idx="39">
                  <c:v>135.33</c:v>
                </c:pt>
                <c:pt idx="40">
                  <c:v>129.33</c:v>
                </c:pt>
                <c:pt idx="41">
                  <c:v>125.33</c:v>
                </c:pt>
                <c:pt idx="42">
                  <c:v>119.33</c:v>
                </c:pt>
                <c:pt idx="43">
                  <c:v>116.67</c:v>
                </c:pt>
                <c:pt idx="44">
                  <c:v>114</c:v>
                </c:pt>
                <c:pt idx="45">
                  <c:v>102.67</c:v>
                </c:pt>
                <c:pt idx="46">
                  <c:v>100</c:v>
                </c:pt>
                <c:pt idx="47">
                  <c:v>96</c:v>
                </c:pt>
                <c:pt idx="48">
                  <c:v>86</c:v>
                </c:pt>
                <c:pt idx="49">
                  <c:v>88</c:v>
                </c:pt>
                <c:pt idx="50">
                  <c:v>82</c:v>
                </c:pt>
                <c:pt idx="51">
                  <c:v>74.67</c:v>
                </c:pt>
                <c:pt idx="52">
                  <c:v>68</c:v>
                </c:pt>
                <c:pt idx="53">
                  <c:v>64.67</c:v>
                </c:pt>
                <c:pt idx="54">
                  <c:v>57.33</c:v>
                </c:pt>
                <c:pt idx="55">
                  <c:v>56</c:v>
                </c:pt>
                <c:pt idx="56">
                  <c:v>46.67</c:v>
                </c:pt>
                <c:pt idx="57">
                  <c:v>44</c:v>
                </c:pt>
                <c:pt idx="58">
                  <c:v>40.67</c:v>
                </c:pt>
                <c:pt idx="59">
                  <c:v>35.33</c:v>
                </c:pt>
                <c:pt idx="60">
                  <c:v>30.67</c:v>
                </c:pt>
                <c:pt idx="61">
                  <c:v>24</c:v>
                </c:pt>
                <c:pt idx="62">
                  <c:v>20.67</c:v>
                </c:pt>
                <c:pt idx="63">
                  <c:v>16.67</c:v>
                </c:pt>
                <c:pt idx="64">
                  <c:v>11.33</c:v>
                </c:pt>
                <c:pt idx="65">
                  <c:v>6</c:v>
                </c:pt>
                <c:pt idx="66">
                  <c:v>3.33</c:v>
                </c:pt>
                <c:pt idx="67">
                  <c:v>-2.67</c:v>
                </c:pt>
                <c:pt idx="68">
                  <c:v>-8.67</c:v>
                </c:pt>
                <c:pt idx="69">
                  <c:v>-8.67</c:v>
                </c:pt>
                <c:pt idx="70">
                  <c:v>-15.33</c:v>
                </c:pt>
                <c:pt idx="71">
                  <c:v>-14.67</c:v>
                </c:pt>
                <c:pt idx="72">
                  <c:v>-23.33</c:v>
                </c:pt>
                <c:pt idx="73">
                  <c:v>-26.67</c:v>
                </c:pt>
                <c:pt idx="74">
                  <c:v>-30</c:v>
                </c:pt>
                <c:pt idx="75">
                  <c:v>-30.67</c:v>
                </c:pt>
                <c:pt idx="76">
                  <c:v>-33.33</c:v>
                </c:pt>
                <c:pt idx="77">
                  <c:v>-36</c:v>
                </c:pt>
                <c:pt idx="78">
                  <c:v>-39.33</c:v>
                </c:pt>
                <c:pt idx="79">
                  <c:v>-46</c:v>
                </c:pt>
                <c:pt idx="80">
                  <c:v>-46</c:v>
                </c:pt>
                <c:pt idx="81">
                  <c:v>-49.33</c:v>
                </c:pt>
                <c:pt idx="82">
                  <c:v>-54</c:v>
                </c:pt>
                <c:pt idx="83">
                  <c:v>-54</c:v>
                </c:pt>
                <c:pt idx="84">
                  <c:v>-56</c:v>
                </c:pt>
                <c:pt idx="85">
                  <c:v>-57.33</c:v>
                </c:pt>
                <c:pt idx="86">
                  <c:v>-58.67</c:v>
                </c:pt>
                <c:pt idx="87">
                  <c:v>-60.67</c:v>
                </c:pt>
                <c:pt idx="88">
                  <c:v>-62</c:v>
                </c:pt>
                <c:pt idx="89">
                  <c:v>-64</c:v>
                </c:pt>
                <c:pt idx="90">
                  <c:v>-62</c:v>
                </c:pt>
                <c:pt idx="91">
                  <c:v>-63.33</c:v>
                </c:pt>
                <c:pt idx="92">
                  <c:v>-63.33</c:v>
                </c:pt>
                <c:pt idx="93">
                  <c:v>-68</c:v>
                </c:pt>
                <c:pt idx="94">
                  <c:v>-64.67</c:v>
                </c:pt>
                <c:pt idx="95">
                  <c:v>-64.67</c:v>
                </c:pt>
                <c:pt idx="96">
                  <c:v>-66</c:v>
                </c:pt>
                <c:pt idx="97">
                  <c:v>-63.33</c:v>
                </c:pt>
                <c:pt idx="98">
                  <c:v>-65.33</c:v>
                </c:pt>
                <c:pt idx="99">
                  <c:v>-64.67</c:v>
                </c:pt>
                <c:pt idx="100">
                  <c:v>-61.33</c:v>
                </c:pt>
                <c:pt idx="101">
                  <c:v>-60.67</c:v>
                </c:pt>
                <c:pt idx="102">
                  <c:v>-63.33</c:v>
                </c:pt>
                <c:pt idx="103">
                  <c:v>-63.33</c:v>
                </c:pt>
                <c:pt idx="104">
                  <c:v>-62</c:v>
                </c:pt>
                <c:pt idx="105">
                  <c:v>-61.33</c:v>
                </c:pt>
                <c:pt idx="106">
                  <c:v>-59.33</c:v>
                </c:pt>
                <c:pt idx="107">
                  <c:v>-58</c:v>
                </c:pt>
                <c:pt idx="108">
                  <c:v>-56</c:v>
                </c:pt>
                <c:pt idx="109">
                  <c:v>-62</c:v>
                </c:pt>
                <c:pt idx="110">
                  <c:v>-54.67</c:v>
                </c:pt>
                <c:pt idx="111">
                  <c:v>-56</c:v>
                </c:pt>
                <c:pt idx="112">
                  <c:v>-52.67</c:v>
                </c:pt>
                <c:pt idx="113">
                  <c:v>-53.33</c:v>
                </c:pt>
                <c:pt idx="114">
                  <c:v>-52</c:v>
                </c:pt>
                <c:pt idx="115">
                  <c:v>-50.67</c:v>
                </c:pt>
                <c:pt idx="116">
                  <c:v>-48.67</c:v>
                </c:pt>
                <c:pt idx="117">
                  <c:v>-46</c:v>
                </c:pt>
                <c:pt idx="118">
                  <c:v>-44</c:v>
                </c:pt>
                <c:pt idx="119">
                  <c:v>-44.67</c:v>
                </c:pt>
                <c:pt idx="120">
                  <c:v>-42</c:v>
                </c:pt>
                <c:pt idx="121">
                  <c:v>-40</c:v>
                </c:pt>
                <c:pt idx="122">
                  <c:v>-40.67</c:v>
                </c:pt>
                <c:pt idx="123">
                  <c:v>-40.67</c:v>
                </c:pt>
                <c:pt idx="124">
                  <c:v>-35.33</c:v>
                </c:pt>
                <c:pt idx="125">
                  <c:v>-34.67</c:v>
                </c:pt>
                <c:pt idx="126">
                  <c:v>-32.67</c:v>
                </c:pt>
                <c:pt idx="127">
                  <c:v>-32.67</c:v>
                </c:pt>
                <c:pt idx="128">
                  <c:v>-30.67</c:v>
                </c:pt>
                <c:pt idx="129">
                  <c:v>-31.33</c:v>
                </c:pt>
                <c:pt idx="130">
                  <c:v>-28</c:v>
                </c:pt>
                <c:pt idx="131">
                  <c:v>-24.67</c:v>
                </c:pt>
                <c:pt idx="132">
                  <c:v>-24.67</c:v>
                </c:pt>
                <c:pt idx="133">
                  <c:v>-24</c:v>
                </c:pt>
                <c:pt idx="134">
                  <c:v>-22</c:v>
                </c:pt>
                <c:pt idx="135">
                  <c:v>-19.33</c:v>
                </c:pt>
                <c:pt idx="136">
                  <c:v>-18</c:v>
                </c:pt>
                <c:pt idx="137">
                  <c:v>-16</c:v>
                </c:pt>
                <c:pt idx="138">
                  <c:v>-16.67</c:v>
                </c:pt>
                <c:pt idx="139">
                  <c:v>-14</c:v>
                </c:pt>
                <c:pt idx="140">
                  <c:v>-14.67</c:v>
                </c:pt>
                <c:pt idx="141">
                  <c:v>-12.67</c:v>
                </c:pt>
                <c:pt idx="142">
                  <c:v>-8</c:v>
                </c:pt>
                <c:pt idx="143">
                  <c:v>-8.67</c:v>
                </c:pt>
                <c:pt idx="144">
                  <c:v>-10</c:v>
                </c:pt>
                <c:pt idx="145">
                  <c:v>-6</c:v>
                </c:pt>
                <c:pt idx="146">
                  <c:v>-3.33</c:v>
                </c:pt>
                <c:pt idx="147">
                  <c:v>-6</c:v>
                </c:pt>
                <c:pt idx="148">
                  <c:v>-3.33</c:v>
                </c:pt>
                <c:pt idx="149">
                  <c:v>-2</c:v>
                </c:pt>
                <c:pt idx="150">
                  <c:v>0.67</c:v>
                </c:pt>
                <c:pt idx="151">
                  <c:v>-1.33</c:v>
                </c:pt>
                <c:pt idx="152">
                  <c:v>4</c:v>
                </c:pt>
                <c:pt idx="153">
                  <c:v>1.33</c:v>
                </c:pt>
                <c:pt idx="154">
                  <c:v>2.67</c:v>
                </c:pt>
                <c:pt idx="155">
                  <c:v>2</c:v>
                </c:pt>
                <c:pt idx="156">
                  <c:v>5.33</c:v>
                </c:pt>
                <c:pt idx="157">
                  <c:v>2</c:v>
                </c:pt>
                <c:pt idx="158">
                  <c:v>4.67</c:v>
                </c:pt>
                <c:pt idx="159">
                  <c:v>6</c:v>
                </c:pt>
                <c:pt idx="160">
                  <c:v>7.33</c:v>
                </c:pt>
                <c:pt idx="161">
                  <c:v>12</c:v>
                </c:pt>
                <c:pt idx="162">
                  <c:v>9.33</c:v>
                </c:pt>
                <c:pt idx="163">
                  <c:v>10</c:v>
                </c:pt>
                <c:pt idx="164">
                  <c:v>10</c:v>
                </c:pt>
                <c:pt idx="165">
                  <c:v>10.67</c:v>
                </c:pt>
                <c:pt idx="166">
                  <c:v>9.33</c:v>
                </c:pt>
                <c:pt idx="167">
                  <c:v>12.67</c:v>
                </c:pt>
                <c:pt idx="168">
                  <c:v>12</c:v>
                </c:pt>
                <c:pt idx="169">
                  <c:v>11.33</c:v>
                </c:pt>
                <c:pt idx="170">
                  <c:v>13.33</c:v>
                </c:pt>
                <c:pt idx="171">
                  <c:v>15.33</c:v>
                </c:pt>
                <c:pt idx="172">
                  <c:v>14</c:v>
                </c:pt>
                <c:pt idx="173">
                  <c:v>13.33</c:v>
                </c:pt>
                <c:pt idx="174">
                  <c:v>14</c:v>
                </c:pt>
                <c:pt idx="175">
                  <c:v>14.67</c:v>
                </c:pt>
                <c:pt idx="176">
                  <c:v>14.67</c:v>
                </c:pt>
                <c:pt idx="177">
                  <c:v>15.33</c:v>
                </c:pt>
                <c:pt idx="178">
                  <c:v>12</c:v>
                </c:pt>
                <c:pt idx="179">
                  <c:v>14</c:v>
                </c:pt>
                <c:pt idx="180">
                  <c:v>12.67</c:v>
                </c:pt>
                <c:pt idx="181">
                  <c:v>14.67</c:v>
                </c:pt>
                <c:pt idx="182">
                  <c:v>14.67</c:v>
                </c:pt>
                <c:pt idx="183">
                  <c:v>16.67</c:v>
                </c:pt>
                <c:pt idx="184">
                  <c:v>16</c:v>
                </c:pt>
                <c:pt idx="185">
                  <c:v>14</c:v>
                </c:pt>
                <c:pt idx="186">
                  <c:v>17.33</c:v>
                </c:pt>
                <c:pt idx="187">
                  <c:v>14.67</c:v>
                </c:pt>
                <c:pt idx="188">
                  <c:v>14</c:v>
                </c:pt>
                <c:pt idx="189">
                  <c:v>15.33</c:v>
                </c:pt>
                <c:pt idx="190">
                  <c:v>16.67</c:v>
                </c:pt>
                <c:pt idx="191">
                  <c:v>19.33</c:v>
                </c:pt>
                <c:pt idx="192">
                  <c:v>13.33</c:v>
                </c:pt>
                <c:pt idx="193">
                  <c:v>13.33</c:v>
                </c:pt>
                <c:pt idx="194">
                  <c:v>13.33</c:v>
                </c:pt>
                <c:pt idx="195">
                  <c:v>14.67</c:v>
                </c:pt>
                <c:pt idx="196">
                  <c:v>16</c:v>
                </c:pt>
                <c:pt idx="197">
                  <c:v>12</c:v>
                </c:pt>
                <c:pt idx="198">
                  <c:v>18.67</c:v>
                </c:pt>
                <c:pt idx="199">
                  <c:v>14</c:v>
                </c:pt>
                <c:pt idx="200">
                  <c:v>14.67</c:v>
                </c:pt>
                <c:pt idx="201">
                  <c:v>12.67</c:v>
                </c:pt>
                <c:pt idx="202">
                  <c:v>11.33</c:v>
                </c:pt>
                <c:pt idx="203">
                  <c:v>12.67</c:v>
                </c:pt>
                <c:pt idx="204">
                  <c:v>12</c:v>
                </c:pt>
                <c:pt idx="205">
                  <c:v>12</c:v>
                </c:pt>
                <c:pt idx="206">
                  <c:v>11.33</c:v>
                </c:pt>
                <c:pt idx="207">
                  <c:v>12.67</c:v>
                </c:pt>
                <c:pt idx="208">
                  <c:v>10.67</c:v>
                </c:pt>
                <c:pt idx="209">
                  <c:v>8.67</c:v>
                </c:pt>
                <c:pt idx="210">
                  <c:v>10</c:v>
                </c:pt>
                <c:pt idx="211">
                  <c:v>8.67</c:v>
                </c:pt>
                <c:pt idx="212">
                  <c:v>8.67</c:v>
                </c:pt>
                <c:pt idx="213">
                  <c:v>9.33</c:v>
                </c:pt>
                <c:pt idx="214">
                  <c:v>8</c:v>
                </c:pt>
                <c:pt idx="215">
                  <c:v>8.67</c:v>
                </c:pt>
                <c:pt idx="216">
                  <c:v>7.33</c:v>
                </c:pt>
                <c:pt idx="217">
                  <c:v>6</c:v>
                </c:pt>
                <c:pt idx="218">
                  <c:v>7.33</c:v>
                </c:pt>
                <c:pt idx="219">
                  <c:v>5.33</c:v>
                </c:pt>
                <c:pt idx="220">
                  <c:v>6.67</c:v>
                </c:pt>
                <c:pt idx="221">
                  <c:v>6</c:v>
                </c:pt>
                <c:pt idx="222">
                  <c:v>5.33</c:v>
                </c:pt>
                <c:pt idx="223">
                  <c:v>5.33</c:v>
                </c:pt>
                <c:pt idx="224">
                  <c:v>6.67</c:v>
                </c:pt>
                <c:pt idx="225">
                  <c:v>4</c:v>
                </c:pt>
                <c:pt idx="226">
                  <c:v>2</c:v>
                </c:pt>
                <c:pt idx="227">
                  <c:v>4</c:v>
                </c:pt>
                <c:pt idx="228">
                  <c:v>0.67</c:v>
                </c:pt>
                <c:pt idx="229">
                  <c:v>3.33</c:v>
                </c:pt>
                <c:pt idx="230">
                  <c:v>1.33</c:v>
                </c:pt>
                <c:pt idx="231">
                  <c:v>1.33</c:v>
                </c:pt>
                <c:pt idx="232">
                  <c:v>2</c:v>
                </c:pt>
                <c:pt idx="233">
                  <c:v>2.67</c:v>
                </c:pt>
                <c:pt idx="234">
                  <c:v>2</c:v>
                </c:pt>
                <c:pt idx="235">
                  <c:v>2</c:v>
                </c:pt>
                <c:pt idx="236">
                  <c:v>-1.33</c:v>
                </c:pt>
                <c:pt idx="237">
                  <c:v>0</c:v>
                </c:pt>
                <c:pt idx="238">
                  <c:v>0</c:v>
                </c:pt>
                <c:pt idx="239">
                  <c:v>0.67</c:v>
                </c:pt>
                <c:pt idx="240">
                  <c:v>0</c:v>
                </c:pt>
                <c:pt idx="241">
                  <c:v>-0.67</c:v>
                </c:pt>
                <c:pt idx="242">
                  <c:v>-1.33</c:v>
                </c:pt>
                <c:pt idx="243">
                  <c:v>0.67</c:v>
                </c:pt>
                <c:pt idx="244">
                  <c:v>-2</c:v>
                </c:pt>
                <c:pt idx="245">
                  <c:v>0</c:v>
                </c:pt>
                <c:pt idx="246">
                  <c:v>-0.67</c:v>
                </c:pt>
                <c:pt idx="247">
                  <c:v>-1.33</c:v>
                </c:pt>
                <c:pt idx="248">
                  <c:v>-0.67</c:v>
                </c:pt>
                <c:pt idx="249">
                  <c:v>-2</c:v>
                </c:pt>
                <c:pt idx="250">
                  <c:v>-1.33</c:v>
                </c:pt>
                <c:pt idx="251">
                  <c:v>0</c:v>
                </c:pt>
                <c:pt idx="252">
                  <c:v>0.67</c:v>
                </c:pt>
                <c:pt idx="253">
                  <c:v>2.67</c:v>
                </c:pt>
                <c:pt idx="254">
                  <c:v>-3.33</c:v>
                </c:pt>
                <c:pt idx="255">
                  <c:v>-3.33</c:v>
                </c:pt>
                <c:pt idx="256">
                  <c:v>-4</c:v>
                </c:pt>
                <c:pt idx="257">
                  <c:v>-2</c:v>
                </c:pt>
                <c:pt idx="258">
                  <c:v>0</c:v>
                </c:pt>
                <c:pt idx="259">
                  <c:v>0</c:v>
                </c:pt>
                <c:pt idx="260">
                  <c:v>-1.33</c:v>
                </c:pt>
                <c:pt idx="261">
                  <c:v>-4</c:v>
                </c:pt>
                <c:pt idx="262">
                  <c:v>-4</c:v>
                </c:pt>
                <c:pt idx="263">
                  <c:v>-2</c:v>
                </c:pt>
                <c:pt idx="264">
                  <c:v>-1.33</c:v>
                </c:pt>
                <c:pt idx="265">
                  <c:v>-0.67</c:v>
                </c:pt>
                <c:pt idx="266">
                  <c:v>-4.67</c:v>
                </c:pt>
                <c:pt idx="267">
                  <c:v>-2.67</c:v>
                </c:pt>
                <c:pt idx="268">
                  <c:v>-0.67</c:v>
                </c:pt>
                <c:pt idx="269">
                  <c:v>2</c:v>
                </c:pt>
                <c:pt idx="270">
                  <c:v>0</c:v>
                </c:pt>
                <c:pt idx="271">
                  <c:v>-1.33</c:v>
                </c:pt>
                <c:pt idx="272">
                  <c:v>-2.67</c:v>
                </c:pt>
                <c:pt idx="273">
                  <c:v>0.67</c:v>
                </c:pt>
                <c:pt idx="274">
                  <c:v>0.67</c:v>
                </c:pt>
                <c:pt idx="275">
                  <c:v>-0.67</c:v>
                </c:pt>
                <c:pt idx="276">
                  <c:v>-0.67</c:v>
                </c:pt>
                <c:pt idx="277">
                  <c:v>2</c:v>
                </c:pt>
                <c:pt idx="278">
                  <c:v>2.67</c:v>
                </c:pt>
                <c:pt idx="279">
                  <c:v>0</c:v>
                </c:pt>
                <c:pt idx="280">
                  <c:v>0</c:v>
                </c:pt>
                <c:pt idx="281">
                  <c:v>2</c:v>
                </c:pt>
                <c:pt idx="282">
                  <c:v>2</c:v>
                </c:pt>
                <c:pt idx="283">
                  <c:v>0</c:v>
                </c:pt>
                <c:pt idx="284">
                  <c:v>-4.67</c:v>
                </c:pt>
                <c:pt idx="285">
                  <c:v>0</c:v>
                </c:pt>
                <c:pt idx="28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 Term (Ki=0.2)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7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Sheet1!$F$2:$F$288</c:f>
              <c:numCache>
                <c:formatCode>General</c:formatCode>
                <c:ptCount val="28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  <c:pt idx="285">
                  <c:v>30</c:v>
                </c:pt>
                <c:pt idx="286">
                  <c:v>30.2</c:v>
                </c:pt>
              </c:numCache>
            </c:numRef>
          </c:cat>
          <c:val>
            <c:numRef>
              <c:f>Sheet1!$C$2:$C$288</c:f>
              <c:numCache>
                <c:formatCode>General</c:formatCode>
                <c:ptCount val="287"/>
                <c:pt idx="0">
                  <c:v>2.57</c:v>
                </c:pt>
                <c:pt idx="1">
                  <c:v>5.16</c:v>
                </c:pt>
                <c:pt idx="2">
                  <c:v>7.73</c:v>
                </c:pt>
                <c:pt idx="3">
                  <c:v>10.32</c:v>
                </c:pt>
                <c:pt idx="4">
                  <c:v>12.89</c:v>
                </c:pt>
                <c:pt idx="5">
                  <c:v>15.44</c:v>
                </c:pt>
                <c:pt idx="6">
                  <c:v>17.97</c:v>
                </c:pt>
                <c:pt idx="7">
                  <c:v>20.53</c:v>
                </c:pt>
                <c:pt idx="8">
                  <c:v>23.07</c:v>
                </c:pt>
                <c:pt idx="9">
                  <c:v>25.56</c:v>
                </c:pt>
                <c:pt idx="10">
                  <c:v>28.06</c:v>
                </c:pt>
                <c:pt idx="11">
                  <c:v>30.53</c:v>
                </c:pt>
                <c:pt idx="12">
                  <c:v>32.99</c:v>
                </c:pt>
                <c:pt idx="13">
                  <c:v>35.45</c:v>
                </c:pt>
                <c:pt idx="14">
                  <c:v>37.85</c:v>
                </c:pt>
                <c:pt idx="15">
                  <c:v>40.22</c:v>
                </c:pt>
                <c:pt idx="16">
                  <c:v>42.58</c:v>
                </c:pt>
                <c:pt idx="17">
                  <c:v>44.9</c:v>
                </c:pt>
                <c:pt idx="18">
                  <c:v>47.17</c:v>
                </c:pt>
                <c:pt idx="19">
                  <c:v>49.42</c:v>
                </c:pt>
                <c:pt idx="20">
                  <c:v>51.62</c:v>
                </c:pt>
                <c:pt idx="21">
                  <c:v>53.81</c:v>
                </c:pt>
                <c:pt idx="22">
                  <c:v>55.93</c:v>
                </c:pt>
                <c:pt idx="23">
                  <c:v>58.01</c:v>
                </c:pt>
                <c:pt idx="24">
                  <c:v>60.07</c:v>
                </c:pt>
                <c:pt idx="25">
                  <c:v>62.07</c:v>
                </c:pt>
                <c:pt idx="26">
                  <c:v>64.04</c:v>
                </c:pt>
                <c:pt idx="27">
                  <c:v>65.97</c:v>
                </c:pt>
                <c:pt idx="28">
                  <c:v>67.85</c:v>
                </c:pt>
                <c:pt idx="29">
                  <c:v>69.67</c:v>
                </c:pt>
                <c:pt idx="30">
                  <c:v>71.47</c:v>
                </c:pt>
                <c:pt idx="31">
                  <c:v>73.23</c:v>
                </c:pt>
                <c:pt idx="32">
                  <c:v>74.96</c:v>
                </c:pt>
                <c:pt idx="33">
                  <c:v>76.6</c:v>
                </c:pt>
                <c:pt idx="34">
                  <c:v>78.22</c:v>
                </c:pt>
                <c:pt idx="35">
                  <c:v>79.77</c:v>
                </c:pt>
                <c:pt idx="36">
                  <c:v>81.27</c:v>
                </c:pt>
                <c:pt idx="37">
                  <c:v>82.73</c:v>
                </c:pt>
                <c:pt idx="38">
                  <c:v>84.13</c:v>
                </c:pt>
                <c:pt idx="39">
                  <c:v>85.49</c:v>
                </c:pt>
                <c:pt idx="40">
                  <c:v>86.78</c:v>
                </c:pt>
                <c:pt idx="41">
                  <c:v>88.03</c:v>
                </c:pt>
                <c:pt idx="42">
                  <c:v>89.23</c:v>
                </c:pt>
                <c:pt idx="43">
                  <c:v>90.39</c:v>
                </c:pt>
                <c:pt idx="44">
                  <c:v>91.53</c:v>
                </c:pt>
                <c:pt idx="45">
                  <c:v>92.56</c:v>
                </c:pt>
                <c:pt idx="46">
                  <c:v>93.56</c:v>
                </c:pt>
                <c:pt idx="47">
                  <c:v>94.52</c:v>
                </c:pt>
                <c:pt idx="48">
                  <c:v>95.38</c:v>
                </c:pt>
                <c:pt idx="49">
                  <c:v>96.26</c:v>
                </c:pt>
                <c:pt idx="50">
                  <c:v>97.08</c:v>
                </c:pt>
                <c:pt idx="51">
                  <c:v>97.83</c:v>
                </c:pt>
                <c:pt idx="52">
                  <c:v>98.51</c:v>
                </c:pt>
                <c:pt idx="53">
                  <c:v>99.15</c:v>
                </c:pt>
                <c:pt idx="54">
                  <c:v>99.73</c:v>
                </c:pt>
                <c:pt idx="55">
                  <c:v>100.29</c:v>
                </c:pt>
                <c:pt idx="56">
                  <c:v>100.75</c:v>
                </c:pt>
                <c:pt idx="57">
                  <c:v>101.19</c:v>
                </c:pt>
                <c:pt idx="58">
                  <c:v>101.6</c:v>
                </c:pt>
                <c:pt idx="59">
                  <c:v>101.95</c:v>
                </c:pt>
                <c:pt idx="60">
                  <c:v>102.26</c:v>
                </c:pt>
                <c:pt idx="61">
                  <c:v>102.5</c:v>
                </c:pt>
                <c:pt idx="62">
                  <c:v>102.71</c:v>
                </c:pt>
                <c:pt idx="63">
                  <c:v>102.87</c:v>
                </c:pt>
                <c:pt idx="64">
                  <c:v>102.99</c:v>
                </c:pt>
                <c:pt idx="65">
                  <c:v>103.05</c:v>
                </c:pt>
                <c:pt idx="66">
                  <c:v>103.08</c:v>
                </c:pt>
                <c:pt idx="67">
                  <c:v>103.05</c:v>
                </c:pt>
                <c:pt idx="68">
                  <c:v>102.97</c:v>
                </c:pt>
                <c:pt idx="69">
                  <c:v>102.88</c:v>
                </c:pt>
                <c:pt idx="70">
                  <c:v>102.73</c:v>
                </c:pt>
                <c:pt idx="71">
                  <c:v>102.58</c:v>
                </c:pt>
                <c:pt idx="72">
                  <c:v>102.35</c:v>
                </c:pt>
                <c:pt idx="73">
                  <c:v>102.08</c:v>
                </c:pt>
                <c:pt idx="74">
                  <c:v>101.78</c:v>
                </c:pt>
                <c:pt idx="75">
                  <c:v>101.47</c:v>
                </c:pt>
                <c:pt idx="76">
                  <c:v>101.14</c:v>
                </c:pt>
                <c:pt idx="77">
                  <c:v>100.78</c:v>
                </c:pt>
                <c:pt idx="78">
                  <c:v>100.39</c:v>
                </c:pt>
                <c:pt idx="79">
                  <c:v>99.93</c:v>
                </c:pt>
                <c:pt idx="80">
                  <c:v>99.47</c:v>
                </c:pt>
                <c:pt idx="81">
                  <c:v>98.97</c:v>
                </c:pt>
                <c:pt idx="82">
                  <c:v>98.43</c:v>
                </c:pt>
                <c:pt idx="83">
                  <c:v>97.89</c:v>
                </c:pt>
                <c:pt idx="84">
                  <c:v>97.33</c:v>
                </c:pt>
                <c:pt idx="85">
                  <c:v>96.76</c:v>
                </c:pt>
                <c:pt idx="86">
                  <c:v>96.17</c:v>
                </c:pt>
                <c:pt idx="87">
                  <c:v>95.57</c:v>
                </c:pt>
                <c:pt idx="88">
                  <c:v>94.95</c:v>
                </c:pt>
                <c:pt idx="89">
                  <c:v>94.31</c:v>
                </c:pt>
                <c:pt idx="90">
                  <c:v>93.69</c:v>
                </c:pt>
                <c:pt idx="91">
                  <c:v>93.05</c:v>
                </c:pt>
                <c:pt idx="92">
                  <c:v>92.42</c:v>
                </c:pt>
                <c:pt idx="93">
                  <c:v>91.74</c:v>
                </c:pt>
                <c:pt idx="94">
                  <c:v>91.09</c:v>
                </c:pt>
                <c:pt idx="95">
                  <c:v>90.45</c:v>
                </c:pt>
                <c:pt idx="96">
                  <c:v>89.79</c:v>
                </c:pt>
                <c:pt idx="97">
                  <c:v>89.15</c:v>
                </c:pt>
                <c:pt idx="98">
                  <c:v>88.5</c:v>
                </c:pt>
                <c:pt idx="99">
                  <c:v>87.85</c:v>
                </c:pt>
                <c:pt idx="100">
                  <c:v>87.24</c:v>
                </c:pt>
                <c:pt idx="101">
                  <c:v>86.63</c:v>
                </c:pt>
                <c:pt idx="102">
                  <c:v>86</c:v>
                </c:pt>
                <c:pt idx="103">
                  <c:v>85.37</c:v>
                </c:pt>
                <c:pt idx="104">
                  <c:v>84.75</c:v>
                </c:pt>
                <c:pt idx="105">
                  <c:v>84.13</c:v>
                </c:pt>
                <c:pt idx="106">
                  <c:v>83.54</c:v>
                </c:pt>
                <c:pt idx="107">
                  <c:v>82.96</c:v>
                </c:pt>
                <c:pt idx="108">
                  <c:v>82.4</c:v>
                </c:pt>
                <c:pt idx="109">
                  <c:v>81.78</c:v>
                </c:pt>
                <c:pt idx="110">
                  <c:v>81.23</c:v>
                </c:pt>
                <c:pt idx="111">
                  <c:v>80.67</c:v>
                </c:pt>
                <c:pt idx="112">
                  <c:v>80.15</c:v>
                </c:pt>
                <c:pt idx="113">
                  <c:v>79.61</c:v>
                </c:pt>
                <c:pt idx="114">
                  <c:v>79.09</c:v>
                </c:pt>
                <c:pt idx="115">
                  <c:v>78.59</c:v>
                </c:pt>
                <c:pt idx="116">
                  <c:v>78.1</c:v>
                </c:pt>
                <c:pt idx="117">
                  <c:v>77.64</c:v>
                </c:pt>
                <c:pt idx="118">
                  <c:v>77.2</c:v>
                </c:pt>
                <c:pt idx="119">
                  <c:v>76.75</c:v>
                </c:pt>
                <c:pt idx="120">
                  <c:v>76.33</c:v>
                </c:pt>
                <c:pt idx="121">
                  <c:v>75.93</c:v>
                </c:pt>
                <c:pt idx="122">
                  <c:v>75.53</c:v>
                </c:pt>
                <c:pt idx="123">
                  <c:v>75.12</c:v>
                </c:pt>
                <c:pt idx="124">
                  <c:v>74.77</c:v>
                </c:pt>
                <c:pt idx="125">
                  <c:v>74.42</c:v>
                </c:pt>
                <c:pt idx="126">
                  <c:v>74.09</c:v>
                </c:pt>
                <c:pt idx="127">
                  <c:v>73.77</c:v>
                </c:pt>
                <c:pt idx="128">
                  <c:v>73.46</c:v>
                </c:pt>
                <c:pt idx="129">
                  <c:v>73.15</c:v>
                </c:pt>
                <c:pt idx="130">
                  <c:v>72.87</c:v>
                </c:pt>
                <c:pt idx="131">
                  <c:v>72.62</c:v>
                </c:pt>
                <c:pt idx="132">
                  <c:v>72.37</c:v>
                </c:pt>
                <c:pt idx="133">
                  <c:v>72.13</c:v>
                </c:pt>
                <c:pt idx="134">
                  <c:v>71.91</c:v>
                </c:pt>
                <c:pt idx="135">
                  <c:v>71.72</c:v>
                </c:pt>
                <c:pt idx="136">
                  <c:v>71.54</c:v>
                </c:pt>
                <c:pt idx="137">
                  <c:v>71.38</c:v>
                </c:pt>
                <c:pt idx="138">
                  <c:v>71.21</c:v>
                </c:pt>
                <c:pt idx="139">
                  <c:v>71.07</c:v>
                </c:pt>
                <c:pt idx="140">
                  <c:v>70.93</c:v>
                </c:pt>
                <c:pt idx="141">
                  <c:v>70.8</c:v>
                </c:pt>
                <c:pt idx="142">
                  <c:v>70.72</c:v>
                </c:pt>
                <c:pt idx="143">
                  <c:v>70.63</c:v>
                </c:pt>
                <c:pt idx="144">
                  <c:v>70.53</c:v>
                </c:pt>
                <c:pt idx="145">
                  <c:v>70.47</c:v>
                </c:pt>
                <c:pt idx="146">
                  <c:v>70.44</c:v>
                </c:pt>
                <c:pt idx="147">
                  <c:v>70.38</c:v>
                </c:pt>
                <c:pt idx="148">
                  <c:v>70.35</c:v>
                </c:pt>
                <c:pt idx="149">
                  <c:v>70.33</c:v>
                </c:pt>
                <c:pt idx="150">
                  <c:v>70.33</c:v>
                </c:pt>
                <c:pt idx="151">
                  <c:v>70.32</c:v>
                </c:pt>
                <c:pt idx="152">
                  <c:v>70.36</c:v>
                </c:pt>
                <c:pt idx="153">
                  <c:v>70.37</c:v>
                </c:pt>
                <c:pt idx="154">
                  <c:v>70.4</c:v>
                </c:pt>
                <c:pt idx="155">
                  <c:v>70.42</c:v>
                </c:pt>
                <c:pt idx="156">
                  <c:v>70.47</c:v>
                </c:pt>
                <c:pt idx="157">
                  <c:v>70.49</c:v>
                </c:pt>
                <c:pt idx="158">
                  <c:v>70.54</c:v>
                </c:pt>
                <c:pt idx="159">
                  <c:v>70.6</c:v>
                </c:pt>
                <c:pt idx="160">
                  <c:v>70.67</c:v>
                </c:pt>
                <c:pt idx="161">
                  <c:v>70.79</c:v>
                </c:pt>
                <c:pt idx="162">
                  <c:v>70.89</c:v>
                </c:pt>
                <c:pt idx="163">
                  <c:v>70.99</c:v>
                </c:pt>
                <c:pt idx="164">
                  <c:v>71.09</c:v>
                </c:pt>
                <c:pt idx="165">
                  <c:v>71.19</c:v>
                </c:pt>
                <c:pt idx="166">
                  <c:v>71.29</c:v>
                </c:pt>
                <c:pt idx="167">
                  <c:v>71.41</c:v>
                </c:pt>
                <c:pt idx="168">
                  <c:v>71.53</c:v>
                </c:pt>
                <c:pt idx="169">
                  <c:v>71.65</c:v>
                </c:pt>
                <c:pt idx="170">
                  <c:v>71.78</c:v>
                </c:pt>
                <c:pt idx="171">
                  <c:v>71.93</c:v>
                </c:pt>
                <c:pt idx="172">
                  <c:v>72.07</c:v>
                </c:pt>
                <c:pt idx="173">
                  <c:v>72.21</c:v>
                </c:pt>
                <c:pt idx="174">
                  <c:v>72.35</c:v>
                </c:pt>
                <c:pt idx="175">
                  <c:v>72.49</c:v>
                </c:pt>
                <c:pt idx="176">
                  <c:v>72.64</c:v>
                </c:pt>
                <c:pt idx="177">
                  <c:v>72.79</c:v>
                </c:pt>
                <c:pt idx="178">
                  <c:v>72.91</c:v>
                </c:pt>
                <c:pt idx="179">
                  <c:v>73.05</c:v>
                </c:pt>
                <c:pt idx="180">
                  <c:v>73.18</c:v>
                </c:pt>
                <c:pt idx="181">
                  <c:v>73.33</c:v>
                </c:pt>
                <c:pt idx="182">
                  <c:v>73.47</c:v>
                </c:pt>
                <c:pt idx="183">
                  <c:v>73.64</c:v>
                </c:pt>
                <c:pt idx="184">
                  <c:v>73.8</c:v>
                </c:pt>
                <c:pt idx="185">
                  <c:v>73.94</c:v>
                </c:pt>
                <c:pt idx="186">
                  <c:v>74.11</c:v>
                </c:pt>
                <c:pt idx="187">
                  <c:v>74.26</c:v>
                </c:pt>
                <c:pt idx="188">
                  <c:v>74.4</c:v>
                </c:pt>
                <c:pt idx="189">
                  <c:v>74.55</c:v>
                </c:pt>
                <c:pt idx="190">
                  <c:v>74.72</c:v>
                </c:pt>
                <c:pt idx="191">
                  <c:v>74.91</c:v>
                </c:pt>
                <c:pt idx="192">
                  <c:v>75.05</c:v>
                </c:pt>
                <c:pt idx="193">
                  <c:v>75.18</c:v>
                </c:pt>
                <c:pt idx="194">
                  <c:v>75.31</c:v>
                </c:pt>
                <c:pt idx="195">
                  <c:v>75.46</c:v>
                </c:pt>
                <c:pt idx="196">
                  <c:v>75.62</c:v>
                </c:pt>
                <c:pt idx="197">
                  <c:v>75.74</c:v>
                </c:pt>
                <c:pt idx="198">
                  <c:v>75.93</c:v>
                </c:pt>
                <c:pt idx="199">
                  <c:v>76.07</c:v>
                </c:pt>
                <c:pt idx="200">
                  <c:v>76.21</c:v>
                </c:pt>
                <c:pt idx="201">
                  <c:v>76.34</c:v>
                </c:pt>
                <c:pt idx="202">
                  <c:v>76.45</c:v>
                </c:pt>
                <c:pt idx="203">
                  <c:v>76.58</c:v>
                </c:pt>
                <c:pt idx="204">
                  <c:v>76.7</c:v>
                </c:pt>
                <c:pt idx="205">
                  <c:v>76.82</c:v>
                </c:pt>
                <c:pt idx="206">
                  <c:v>76.93</c:v>
                </c:pt>
                <c:pt idx="207">
                  <c:v>77.06</c:v>
                </c:pt>
                <c:pt idx="208">
                  <c:v>77.17</c:v>
                </c:pt>
                <c:pt idx="209">
                  <c:v>77.25</c:v>
                </c:pt>
                <c:pt idx="210">
                  <c:v>77.35</c:v>
                </c:pt>
                <c:pt idx="211">
                  <c:v>77.44</c:v>
                </c:pt>
                <c:pt idx="212">
                  <c:v>77.53</c:v>
                </c:pt>
                <c:pt idx="213">
                  <c:v>77.62</c:v>
                </c:pt>
                <c:pt idx="214">
                  <c:v>77.7</c:v>
                </c:pt>
                <c:pt idx="215">
                  <c:v>77.79</c:v>
                </c:pt>
                <c:pt idx="216">
                  <c:v>77.86</c:v>
                </c:pt>
                <c:pt idx="217">
                  <c:v>77.92</c:v>
                </c:pt>
                <c:pt idx="218">
                  <c:v>77.99</c:v>
                </c:pt>
                <c:pt idx="219">
                  <c:v>78.05</c:v>
                </c:pt>
                <c:pt idx="220">
                  <c:v>78.11</c:v>
                </c:pt>
                <c:pt idx="221">
                  <c:v>78.17</c:v>
                </c:pt>
                <c:pt idx="222">
                  <c:v>78.23</c:v>
                </c:pt>
                <c:pt idx="223">
                  <c:v>78.28</c:v>
                </c:pt>
                <c:pt idx="224">
                  <c:v>78.35</c:v>
                </c:pt>
                <c:pt idx="225">
                  <c:v>78.39</c:v>
                </c:pt>
                <c:pt idx="226">
                  <c:v>78.41</c:v>
                </c:pt>
                <c:pt idx="227">
                  <c:v>78.45</c:v>
                </c:pt>
                <c:pt idx="228">
                  <c:v>78.45</c:v>
                </c:pt>
                <c:pt idx="229">
                  <c:v>78.49</c:v>
                </c:pt>
                <c:pt idx="230">
                  <c:v>78.5</c:v>
                </c:pt>
                <c:pt idx="231">
                  <c:v>78.51</c:v>
                </c:pt>
                <c:pt idx="232">
                  <c:v>78.53</c:v>
                </c:pt>
                <c:pt idx="233">
                  <c:v>78.56</c:v>
                </c:pt>
                <c:pt idx="234">
                  <c:v>78.58</c:v>
                </c:pt>
                <c:pt idx="235">
                  <c:v>78.6</c:v>
                </c:pt>
                <c:pt idx="236">
                  <c:v>78.59</c:v>
                </c:pt>
                <c:pt idx="237">
                  <c:v>78.59</c:v>
                </c:pt>
                <c:pt idx="238">
                  <c:v>78.59</c:v>
                </c:pt>
                <c:pt idx="239">
                  <c:v>78.59</c:v>
                </c:pt>
                <c:pt idx="240">
                  <c:v>78.59</c:v>
                </c:pt>
                <c:pt idx="241">
                  <c:v>78.59</c:v>
                </c:pt>
                <c:pt idx="242">
                  <c:v>78.57</c:v>
                </c:pt>
                <c:pt idx="243">
                  <c:v>78.58</c:v>
                </c:pt>
                <c:pt idx="244">
                  <c:v>78.56</c:v>
                </c:pt>
                <c:pt idx="245">
                  <c:v>78.56</c:v>
                </c:pt>
                <c:pt idx="246">
                  <c:v>78.55</c:v>
                </c:pt>
                <c:pt idx="247">
                  <c:v>78.54</c:v>
                </c:pt>
                <c:pt idx="248">
                  <c:v>78.53</c:v>
                </c:pt>
                <c:pt idx="249">
                  <c:v>78.51</c:v>
                </c:pt>
                <c:pt idx="250">
                  <c:v>78.5</c:v>
                </c:pt>
                <c:pt idx="251">
                  <c:v>78.5</c:v>
                </c:pt>
                <c:pt idx="252">
                  <c:v>78.51</c:v>
                </c:pt>
                <c:pt idx="253">
                  <c:v>78.53</c:v>
                </c:pt>
                <c:pt idx="254">
                  <c:v>78.5</c:v>
                </c:pt>
                <c:pt idx="255">
                  <c:v>78.47</c:v>
                </c:pt>
                <c:pt idx="256">
                  <c:v>78.43</c:v>
                </c:pt>
                <c:pt idx="257">
                  <c:v>78.41</c:v>
                </c:pt>
                <c:pt idx="258">
                  <c:v>78.41</c:v>
                </c:pt>
                <c:pt idx="259">
                  <c:v>78.41</c:v>
                </c:pt>
                <c:pt idx="260">
                  <c:v>78.39</c:v>
                </c:pt>
                <c:pt idx="261">
                  <c:v>78.35</c:v>
                </c:pt>
                <c:pt idx="262">
                  <c:v>78.31</c:v>
                </c:pt>
                <c:pt idx="263">
                  <c:v>78.29</c:v>
                </c:pt>
                <c:pt idx="264">
                  <c:v>78.28</c:v>
                </c:pt>
                <c:pt idx="265">
                  <c:v>78.27</c:v>
                </c:pt>
                <c:pt idx="266">
                  <c:v>78.23</c:v>
                </c:pt>
                <c:pt idx="267">
                  <c:v>78.2</c:v>
                </c:pt>
                <c:pt idx="268">
                  <c:v>78.19</c:v>
                </c:pt>
                <c:pt idx="269">
                  <c:v>78.21</c:v>
                </c:pt>
                <c:pt idx="270">
                  <c:v>78.21</c:v>
                </c:pt>
                <c:pt idx="271">
                  <c:v>78.2</c:v>
                </c:pt>
                <c:pt idx="272">
                  <c:v>78.17</c:v>
                </c:pt>
                <c:pt idx="273">
                  <c:v>78.18</c:v>
                </c:pt>
                <c:pt idx="274">
                  <c:v>78.19</c:v>
                </c:pt>
                <c:pt idx="275">
                  <c:v>78.18</c:v>
                </c:pt>
                <c:pt idx="276">
                  <c:v>78.17</c:v>
                </c:pt>
                <c:pt idx="277">
                  <c:v>78.19</c:v>
                </c:pt>
                <c:pt idx="278">
                  <c:v>78.22</c:v>
                </c:pt>
                <c:pt idx="279">
                  <c:v>78.22</c:v>
                </c:pt>
                <c:pt idx="280">
                  <c:v>78.22</c:v>
                </c:pt>
                <c:pt idx="281">
                  <c:v>78.24</c:v>
                </c:pt>
                <c:pt idx="282">
                  <c:v>78.26</c:v>
                </c:pt>
                <c:pt idx="283">
                  <c:v>78.26</c:v>
                </c:pt>
                <c:pt idx="284">
                  <c:v>78.21</c:v>
                </c:pt>
                <c:pt idx="285">
                  <c:v>78.21</c:v>
                </c:pt>
                <c:pt idx="286">
                  <c:v>78.21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Duty Cycle (%)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9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Sheet1!$F$2:$F$288</c:f>
              <c:numCache>
                <c:formatCode>General</c:formatCode>
                <c:ptCount val="28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4.5</c:v>
                </c:pt>
                <c:pt idx="43">
                  <c:v>4.6</c:v>
                </c:pt>
                <c:pt idx="44">
                  <c:v>4.7</c:v>
                </c:pt>
                <c:pt idx="45">
                  <c:v>4.8</c:v>
                </c:pt>
                <c:pt idx="46">
                  <c:v>4.9</c:v>
                </c:pt>
                <c:pt idx="47">
                  <c:v>5</c:v>
                </c:pt>
                <c:pt idx="48">
                  <c:v>5.1</c:v>
                </c:pt>
                <c:pt idx="49">
                  <c:v>5.3</c:v>
                </c:pt>
                <c:pt idx="50">
                  <c:v>5.4</c:v>
                </c:pt>
                <c:pt idx="51">
                  <c:v>5.5</c:v>
                </c:pt>
                <c:pt idx="52">
                  <c:v>5.6</c:v>
                </c:pt>
                <c:pt idx="53">
                  <c:v>5.7</c:v>
                </c:pt>
                <c:pt idx="54">
                  <c:v>5.8</c:v>
                </c:pt>
                <c:pt idx="55">
                  <c:v>5.9</c:v>
                </c:pt>
                <c:pt idx="56">
                  <c:v>6</c:v>
                </c:pt>
                <c:pt idx="57">
                  <c:v>6.1</c:v>
                </c:pt>
                <c:pt idx="58">
                  <c:v>6.2</c:v>
                </c:pt>
                <c:pt idx="59">
                  <c:v>6.3</c:v>
                </c:pt>
                <c:pt idx="60">
                  <c:v>6.4</c:v>
                </c:pt>
                <c:pt idx="61">
                  <c:v>6.5</c:v>
                </c:pt>
                <c:pt idx="62">
                  <c:v>6.6</c:v>
                </c:pt>
                <c:pt idx="63">
                  <c:v>6.7</c:v>
                </c:pt>
                <c:pt idx="64">
                  <c:v>6.8</c:v>
                </c:pt>
                <c:pt idx="65">
                  <c:v>6.9</c:v>
                </c:pt>
                <c:pt idx="66">
                  <c:v>7</c:v>
                </c:pt>
                <c:pt idx="67">
                  <c:v>7.1</c:v>
                </c:pt>
                <c:pt idx="68">
                  <c:v>7.2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8.2</c:v>
                </c:pt>
                <c:pt idx="78">
                  <c:v>8.3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8.7</c:v>
                </c:pt>
                <c:pt idx="83">
                  <c:v>8.8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9.2</c:v>
                </c:pt>
                <c:pt idx="88">
                  <c:v>9.3</c:v>
                </c:pt>
                <c:pt idx="89">
                  <c:v>9.5</c:v>
                </c:pt>
                <c:pt idx="90">
                  <c:v>9.6</c:v>
                </c:pt>
                <c:pt idx="91">
                  <c:v>9.7</c:v>
                </c:pt>
                <c:pt idx="92">
                  <c:v>9.8</c:v>
                </c:pt>
                <c:pt idx="93">
                  <c:v>9.9</c:v>
                </c:pt>
                <c:pt idx="94">
                  <c:v>10</c:v>
                </c:pt>
                <c:pt idx="95">
                  <c:v>10.1</c:v>
                </c:pt>
                <c:pt idx="96">
                  <c:v>10.2</c:v>
                </c:pt>
                <c:pt idx="97">
                  <c:v>10.3</c:v>
                </c:pt>
                <c:pt idx="98">
                  <c:v>10.4</c:v>
                </c:pt>
                <c:pt idx="99">
                  <c:v>10.5</c:v>
                </c:pt>
                <c:pt idx="100">
                  <c:v>10.6</c:v>
                </c:pt>
                <c:pt idx="101">
                  <c:v>10.7</c:v>
                </c:pt>
                <c:pt idx="102">
                  <c:v>10.8</c:v>
                </c:pt>
                <c:pt idx="103">
                  <c:v>10.9</c:v>
                </c:pt>
                <c:pt idx="104">
                  <c:v>11</c:v>
                </c:pt>
                <c:pt idx="105">
                  <c:v>11.1</c:v>
                </c:pt>
                <c:pt idx="106">
                  <c:v>11.2</c:v>
                </c:pt>
                <c:pt idx="107">
                  <c:v>11.3</c:v>
                </c:pt>
                <c:pt idx="108">
                  <c:v>11.5</c:v>
                </c:pt>
                <c:pt idx="109">
                  <c:v>11.6</c:v>
                </c:pt>
                <c:pt idx="110">
                  <c:v>11.7</c:v>
                </c:pt>
                <c:pt idx="111">
                  <c:v>11.8</c:v>
                </c:pt>
                <c:pt idx="112">
                  <c:v>11.9</c:v>
                </c:pt>
                <c:pt idx="113">
                  <c:v>12</c:v>
                </c:pt>
                <c:pt idx="114">
                  <c:v>12.1</c:v>
                </c:pt>
                <c:pt idx="115">
                  <c:v>12.2</c:v>
                </c:pt>
                <c:pt idx="116">
                  <c:v>12.3</c:v>
                </c:pt>
                <c:pt idx="117">
                  <c:v>12.4</c:v>
                </c:pt>
                <c:pt idx="118">
                  <c:v>12.5</c:v>
                </c:pt>
                <c:pt idx="119">
                  <c:v>12.6</c:v>
                </c:pt>
                <c:pt idx="120">
                  <c:v>12.7</c:v>
                </c:pt>
                <c:pt idx="121">
                  <c:v>12.8</c:v>
                </c:pt>
                <c:pt idx="122">
                  <c:v>12.9</c:v>
                </c:pt>
                <c:pt idx="123">
                  <c:v>13</c:v>
                </c:pt>
                <c:pt idx="124">
                  <c:v>13.1</c:v>
                </c:pt>
                <c:pt idx="125">
                  <c:v>13.2</c:v>
                </c:pt>
                <c:pt idx="126">
                  <c:v>13.3</c:v>
                </c:pt>
                <c:pt idx="127">
                  <c:v>13.4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14.3</c:v>
                </c:pt>
                <c:pt idx="136">
                  <c:v>14.4</c:v>
                </c:pt>
                <c:pt idx="137">
                  <c:v>14.5</c:v>
                </c:pt>
                <c:pt idx="138">
                  <c:v>14.6</c:v>
                </c:pt>
                <c:pt idx="139">
                  <c:v>14.7</c:v>
                </c:pt>
                <c:pt idx="140">
                  <c:v>14.8</c:v>
                </c:pt>
                <c:pt idx="141">
                  <c:v>14.9</c:v>
                </c:pt>
                <c:pt idx="142">
                  <c:v>15</c:v>
                </c:pt>
                <c:pt idx="143">
                  <c:v>15.1</c:v>
                </c:pt>
                <c:pt idx="144">
                  <c:v>15.2</c:v>
                </c:pt>
                <c:pt idx="145">
                  <c:v>15.3</c:v>
                </c:pt>
                <c:pt idx="146">
                  <c:v>15.4</c:v>
                </c:pt>
                <c:pt idx="147">
                  <c:v>15.5</c:v>
                </c:pt>
                <c:pt idx="148">
                  <c:v>15.7</c:v>
                </c:pt>
                <c:pt idx="149">
                  <c:v>15.8</c:v>
                </c:pt>
                <c:pt idx="150">
                  <c:v>15.9</c:v>
                </c:pt>
                <c:pt idx="151">
                  <c:v>16</c:v>
                </c:pt>
                <c:pt idx="152">
                  <c:v>16.1</c:v>
                </c:pt>
                <c:pt idx="153">
                  <c:v>16.2</c:v>
                </c:pt>
                <c:pt idx="154">
                  <c:v>16.3</c:v>
                </c:pt>
                <c:pt idx="155">
                  <c:v>16.4</c:v>
                </c:pt>
                <c:pt idx="156">
                  <c:v>16.5</c:v>
                </c:pt>
                <c:pt idx="157">
                  <c:v>16.6</c:v>
                </c:pt>
                <c:pt idx="158">
                  <c:v>16.7</c:v>
                </c:pt>
                <c:pt idx="159">
                  <c:v>16.8</c:v>
                </c:pt>
                <c:pt idx="160">
                  <c:v>16.9</c:v>
                </c:pt>
                <c:pt idx="161">
                  <c:v>17</c:v>
                </c:pt>
                <c:pt idx="162">
                  <c:v>17.1</c:v>
                </c:pt>
                <c:pt idx="163">
                  <c:v>17.2</c:v>
                </c:pt>
                <c:pt idx="164">
                  <c:v>17.3</c:v>
                </c:pt>
                <c:pt idx="165">
                  <c:v>17.4</c:v>
                </c:pt>
                <c:pt idx="166">
                  <c:v>17.5</c:v>
                </c:pt>
                <c:pt idx="167">
                  <c:v>17.6</c:v>
                </c:pt>
                <c:pt idx="168">
                  <c:v>17.8</c:v>
                </c:pt>
                <c:pt idx="169">
                  <c:v>17.9</c:v>
                </c:pt>
                <c:pt idx="170">
                  <c:v>18</c:v>
                </c:pt>
                <c:pt idx="171">
                  <c:v>18.1</c:v>
                </c:pt>
                <c:pt idx="172">
                  <c:v>18.2</c:v>
                </c:pt>
                <c:pt idx="173">
                  <c:v>18.3</c:v>
                </c:pt>
                <c:pt idx="174">
                  <c:v>18.4</c:v>
                </c:pt>
                <c:pt idx="175">
                  <c:v>18.5</c:v>
                </c:pt>
                <c:pt idx="176">
                  <c:v>18.6</c:v>
                </c:pt>
                <c:pt idx="177">
                  <c:v>18.7</c:v>
                </c:pt>
                <c:pt idx="178">
                  <c:v>18.8</c:v>
                </c:pt>
                <c:pt idx="179">
                  <c:v>18.9</c:v>
                </c:pt>
                <c:pt idx="180">
                  <c:v>19</c:v>
                </c:pt>
                <c:pt idx="181">
                  <c:v>19.1</c:v>
                </c:pt>
                <c:pt idx="182">
                  <c:v>19.2</c:v>
                </c:pt>
                <c:pt idx="183">
                  <c:v>19.3</c:v>
                </c:pt>
                <c:pt idx="184">
                  <c:v>19.4</c:v>
                </c:pt>
                <c:pt idx="185">
                  <c:v>19.5</c:v>
                </c:pt>
                <c:pt idx="186">
                  <c:v>19.6</c:v>
                </c:pt>
                <c:pt idx="187">
                  <c:v>19.8</c:v>
                </c:pt>
                <c:pt idx="188">
                  <c:v>19.9</c:v>
                </c:pt>
                <c:pt idx="189">
                  <c:v>20</c:v>
                </c:pt>
                <c:pt idx="190">
                  <c:v>20.1</c:v>
                </c:pt>
                <c:pt idx="191">
                  <c:v>20.2</c:v>
                </c:pt>
                <c:pt idx="192">
                  <c:v>20.3</c:v>
                </c:pt>
                <c:pt idx="193">
                  <c:v>20.4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24</c:v>
                </c:pt>
                <c:pt idx="228">
                  <c:v>24.1</c:v>
                </c:pt>
                <c:pt idx="229">
                  <c:v>24.2</c:v>
                </c:pt>
                <c:pt idx="230">
                  <c:v>24.3</c:v>
                </c:pt>
                <c:pt idx="231">
                  <c:v>24.4</c:v>
                </c:pt>
                <c:pt idx="232">
                  <c:v>24.5</c:v>
                </c:pt>
                <c:pt idx="233">
                  <c:v>24.6</c:v>
                </c:pt>
                <c:pt idx="234">
                  <c:v>24.7</c:v>
                </c:pt>
                <c:pt idx="235">
                  <c:v>24.8</c:v>
                </c:pt>
                <c:pt idx="236">
                  <c:v>24.9</c:v>
                </c:pt>
                <c:pt idx="237">
                  <c:v>25</c:v>
                </c:pt>
                <c:pt idx="238">
                  <c:v>25.1</c:v>
                </c:pt>
                <c:pt idx="239">
                  <c:v>25.2</c:v>
                </c:pt>
                <c:pt idx="240">
                  <c:v>25.3</c:v>
                </c:pt>
                <c:pt idx="241">
                  <c:v>25.4</c:v>
                </c:pt>
                <c:pt idx="242">
                  <c:v>25.5</c:v>
                </c:pt>
                <c:pt idx="243">
                  <c:v>25.6</c:v>
                </c:pt>
                <c:pt idx="244">
                  <c:v>25.7</c:v>
                </c:pt>
                <c:pt idx="245">
                  <c:v>25.8</c:v>
                </c:pt>
                <c:pt idx="246">
                  <c:v>25.9</c:v>
                </c:pt>
                <c:pt idx="247">
                  <c:v>26.1</c:v>
                </c:pt>
                <c:pt idx="248">
                  <c:v>26.2</c:v>
                </c:pt>
                <c:pt idx="249">
                  <c:v>26.3</c:v>
                </c:pt>
                <c:pt idx="250">
                  <c:v>26.4</c:v>
                </c:pt>
                <c:pt idx="251">
                  <c:v>26.5</c:v>
                </c:pt>
                <c:pt idx="252">
                  <c:v>26.6</c:v>
                </c:pt>
                <c:pt idx="253">
                  <c:v>26.7</c:v>
                </c:pt>
                <c:pt idx="254">
                  <c:v>26.8</c:v>
                </c:pt>
                <c:pt idx="255">
                  <c:v>26.9</c:v>
                </c:pt>
                <c:pt idx="256">
                  <c:v>27</c:v>
                </c:pt>
                <c:pt idx="257">
                  <c:v>27.1</c:v>
                </c:pt>
                <c:pt idx="258">
                  <c:v>27.2</c:v>
                </c:pt>
                <c:pt idx="259">
                  <c:v>27.3</c:v>
                </c:pt>
                <c:pt idx="260">
                  <c:v>27.4</c:v>
                </c:pt>
                <c:pt idx="261">
                  <c:v>27.5</c:v>
                </c:pt>
                <c:pt idx="262">
                  <c:v>27.6</c:v>
                </c:pt>
                <c:pt idx="263">
                  <c:v>27.7</c:v>
                </c:pt>
                <c:pt idx="264">
                  <c:v>27.8</c:v>
                </c:pt>
                <c:pt idx="265">
                  <c:v>27.9</c:v>
                </c:pt>
                <c:pt idx="266">
                  <c:v>28</c:v>
                </c:pt>
                <c:pt idx="267">
                  <c:v>28.2</c:v>
                </c:pt>
                <c:pt idx="268">
                  <c:v>28.3</c:v>
                </c:pt>
                <c:pt idx="269">
                  <c:v>28.4</c:v>
                </c:pt>
                <c:pt idx="270">
                  <c:v>28.5</c:v>
                </c:pt>
                <c:pt idx="271">
                  <c:v>28.6</c:v>
                </c:pt>
                <c:pt idx="272">
                  <c:v>28.7</c:v>
                </c:pt>
                <c:pt idx="273">
                  <c:v>28.8</c:v>
                </c:pt>
                <c:pt idx="274">
                  <c:v>28.9</c:v>
                </c:pt>
                <c:pt idx="275">
                  <c:v>29</c:v>
                </c:pt>
                <c:pt idx="276">
                  <c:v>29.1</c:v>
                </c:pt>
                <c:pt idx="277">
                  <c:v>29.2</c:v>
                </c:pt>
                <c:pt idx="278">
                  <c:v>29.3</c:v>
                </c:pt>
                <c:pt idx="279">
                  <c:v>29.4</c:v>
                </c:pt>
                <c:pt idx="280">
                  <c:v>29.5</c:v>
                </c:pt>
                <c:pt idx="281">
                  <c:v>29.6</c:v>
                </c:pt>
                <c:pt idx="282">
                  <c:v>29.7</c:v>
                </c:pt>
                <c:pt idx="283">
                  <c:v>29.8</c:v>
                </c:pt>
                <c:pt idx="284">
                  <c:v>29.9</c:v>
                </c:pt>
                <c:pt idx="285">
                  <c:v>30</c:v>
                </c:pt>
                <c:pt idx="286">
                  <c:v>30.2</c:v>
                </c:pt>
              </c:numCache>
            </c:numRef>
          </c:cat>
          <c:val>
            <c:numRef>
              <c:f>Sheet1!$G$2:$G$288</c:f>
              <c:numCache>
                <c:formatCode>General</c:formatCode>
                <c:ptCount val="28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98.7</c:v>
                </c:pt>
                <c:pt idx="55">
                  <c:v>98.1</c:v>
                </c:pt>
                <c:pt idx="56">
                  <c:v>92.5</c:v>
                </c:pt>
                <c:pt idx="57">
                  <c:v>91.2</c:v>
                </c:pt>
                <c:pt idx="58">
                  <c:v>89.3</c:v>
                </c:pt>
                <c:pt idx="59">
                  <c:v>86.2</c:v>
                </c:pt>
                <c:pt idx="60">
                  <c:v>83</c:v>
                </c:pt>
                <c:pt idx="61">
                  <c:v>79.2</c:v>
                </c:pt>
                <c:pt idx="62">
                  <c:v>77.4</c:v>
                </c:pt>
                <c:pt idx="63">
                  <c:v>74.8</c:v>
                </c:pt>
                <c:pt idx="64">
                  <c:v>71.7</c:v>
                </c:pt>
                <c:pt idx="65">
                  <c:v>68.6</c:v>
                </c:pt>
                <c:pt idx="66">
                  <c:v>66.7</c:v>
                </c:pt>
                <c:pt idx="67">
                  <c:v>62.9</c:v>
                </c:pt>
                <c:pt idx="68">
                  <c:v>59.1</c:v>
                </c:pt>
                <c:pt idx="69">
                  <c:v>59.1</c:v>
                </c:pt>
                <c:pt idx="70">
                  <c:v>54.7</c:v>
                </c:pt>
                <c:pt idx="71">
                  <c:v>54.7</c:v>
                </c:pt>
                <c:pt idx="72">
                  <c:v>49.7</c:v>
                </c:pt>
                <c:pt idx="73">
                  <c:v>47.2</c:v>
                </c:pt>
                <c:pt idx="74">
                  <c:v>44.7</c:v>
                </c:pt>
                <c:pt idx="75">
                  <c:v>44</c:v>
                </c:pt>
                <c:pt idx="76">
                  <c:v>42.1</c:v>
                </c:pt>
                <c:pt idx="77">
                  <c:v>40.3</c:v>
                </c:pt>
                <c:pt idx="78">
                  <c:v>38.4</c:v>
                </c:pt>
                <c:pt idx="79">
                  <c:v>33.3</c:v>
                </c:pt>
                <c:pt idx="80">
                  <c:v>33.3</c:v>
                </c:pt>
                <c:pt idx="81">
                  <c:v>30.8</c:v>
                </c:pt>
                <c:pt idx="82">
                  <c:v>27.7</c:v>
                </c:pt>
                <c:pt idx="83">
                  <c:v>27</c:v>
                </c:pt>
                <c:pt idx="84">
                  <c:v>25.8</c:v>
                </c:pt>
                <c:pt idx="85">
                  <c:v>24.5</c:v>
                </c:pt>
                <c:pt idx="86">
                  <c:v>23.3</c:v>
                </c:pt>
                <c:pt idx="87">
                  <c:v>21.4</c:v>
                </c:pt>
                <c:pt idx="88">
                  <c:v>20.1</c:v>
                </c:pt>
                <c:pt idx="89">
                  <c:v>18.9</c:v>
                </c:pt>
                <c:pt idx="90">
                  <c:v>19.5</c:v>
                </c:pt>
                <c:pt idx="91">
                  <c:v>18.2</c:v>
                </c:pt>
                <c:pt idx="92">
                  <c:v>18.2</c:v>
                </c:pt>
                <c:pt idx="93">
                  <c:v>14.5</c:v>
                </c:pt>
                <c:pt idx="94">
                  <c:v>16.4</c:v>
                </c:pt>
                <c:pt idx="95">
                  <c:v>15.7</c:v>
                </c:pt>
                <c:pt idx="96">
                  <c:v>14.5</c:v>
                </c:pt>
                <c:pt idx="97">
                  <c:v>15.7</c:v>
                </c:pt>
                <c:pt idx="98">
                  <c:v>14.5</c:v>
                </c:pt>
                <c:pt idx="99">
                  <c:v>14.5</c:v>
                </c:pt>
                <c:pt idx="100">
                  <c:v>15.7</c:v>
                </c:pt>
                <c:pt idx="101">
                  <c:v>15.7</c:v>
                </c:pt>
                <c:pt idx="102">
                  <c:v>13.8</c:v>
                </c:pt>
                <c:pt idx="103">
                  <c:v>13.8</c:v>
                </c:pt>
                <c:pt idx="104">
                  <c:v>13.8</c:v>
                </c:pt>
                <c:pt idx="105">
                  <c:v>13.8</c:v>
                </c:pt>
                <c:pt idx="106">
                  <c:v>15.1</c:v>
                </c:pt>
                <c:pt idx="107">
                  <c:v>15.1</c:v>
                </c:pt>
                <c:pt idx="108">
                  <c:v>16.4</c:v>
                </c:pt>
                <c:pt idx="109">
                  <c:v>11.9</c:v>
                </c:pt>
                <c:pt idx="110">
                  <c:v>16.4</c:v>
                </c:pt>
                <c:pt idx="111">
                  <c:v>15.1</c:v>
                </c:pt>
                <c:pt idx="112">
                  <c:v>17</c:v>
                </c:pt>
                <c:pt idx="113">
                  <c:v>16.4</c:v>
                </c:pt>
                <c:pt idx="114">
                  <c:v>17</c:v>
                </c:pt>
                <c:pt idx="115">
                  <c:v>17</c:v>
                </c:pt>
                <c:pt idx="116">
                  <c:v>18.2</c:v>
                </c:pt>
                <c:pt idx="117">
                  <c:v>19.5</c:v>
                </c:pt>
                <c:pt idx="118">
                  <c:v>20.8</c:v>
                </c:pt>
                <c:pt idx="119">
                  <c:v>20.1</c:v>
                </c:pt>
                <c:pt idx="120">
                  <c:v>21.4</c:v>
                </c:pt>
                <c:pt idx="121">
                  <c:v>22</c:v>
                </c:pt>
                <c:pt idx="122">
                  <c:v>21.4</c:v>
                </c:pt>
                <c:pt idx="123">
                  <c:v>21.4</c:v>
                </c:pt>
                <c:pt idx="124">
                  <c:v>24.5</c:v>
                </c:pt>
                <c:pt idx="125">
                  <c:v>24.5</c:v>
                </c:pt>
                <c:pt idx="126">
                  <c:v>25.8</c:v>
                </c:pt>
                <c:pt idx="127">
                  <c:v>25.8</c:v>
                </c:pt>
                <c:pt idx="128">
                  <c:v>26.4</c:v>
                </c:pt>
                <c:pt idx="129">
                  <c:v>25.8</c:v>
                </c:pt>
                <c:pt idx="130">
                  <c:v>27.7</c:v>
                </c:pt>
                <c:pt idx="131">
                  <c:v>29.6</c:v>
                </c:pt>
                <c:pt idx="132">
                  <c:v>29.6</c:v>
                </c:pt>
                <c:pt idx="133">
                  <c:v>30.2</c:v>
                </c:pt>
                <c:pt idx="134">
                  <c:v>30.8</c:v>
                </c:pt>
                <c:pt idx="135">
                  <c:v>32.7</c:v>
                </c:pt>
                <c:pt idx="136">
                  <c:v>33.3</c:v>
                </c:pt>
                <c:pt idx="137">
                  <c:v>34.6</c:v>
                </c:pt>
                <c:pt idx="138">
                  <c:v>34</c:v>
                </c:pt>
                <c:pt idx="139">
                  <c:v>35.8</c:v>
                </c:pt>
                <c:pt idx="140">
                  <c:v>35.2</c:v>
                </c:pt>
                <c:pt idx="141">
                  <c:v>36.5</c:v>
                </c:pt>
                <c:pt idx="142">
                  <c:v>39</c:v>
                </c:pt>
                <c:pt idx="143">
                  <c:v>38.4</c:v>
                </c:pt>
                <c:pt idx="144">
                  <c:v>37.7</c:v>
                </c:pt>
                <c:pt idx="145">
                  <c:v>40.3</c:v>
                </c:pt>
                <c:pt idx="146">
                  <c:v>42.1</c:v>
                </c:pt>
                <c:pt idx="147">
                  <c:v>40.3</c:v>
                </c:pt>
                <c:pt idx="148">
                  <c:v>42.1</c:v>
                </c:pt>
                <c:pt idx="149">
                  <c:v>42.8</c:v>
                </c:pt>
                <c:pt idx="150">
                  <c:v>44</c:v>
                </c:pt>
                <c:pt idx="151">
                  <c:v>42.8</c:v>
                </c:pt>
                <c:pt idx="152">
                  <c:v>46.5</c:v>
                </c:pt>
                <c:pt idx="153">
                  <c:v>44.7</c:v>
                </c:pt>
                <c:pt idx="154">
                  <c:v>45.9</c:v>
                </c:pt>
                <c:pt idx="155">
                  <c:v>45.3</c:v>
                </c:pt>
                <c:pt idx="156">
                  <c:v>47.2</c:v>
                </c:pt>
                <c:pt idx="157">
                  <c:v>45.3</c:v>
                </c:pt>
                <c:pt idx="158">
                  <c:v>47.2</c:v>
                </c:pt>
                <c:pt idx="159">
                  <c:v>47.8</c:v>
                </c:pt>
                <c:pt idx="160">
                  <c:v>49.1</c:v>
                </c:pt>
                <c:pt idx="161">
                  <c:v>51.6</c:v>
                </c:pt>
                <c:pt idx="162">
                  <c:v>50.3</c:v>
                </c:pt>
                <c:pt idx="163">
                  <c:v>50.3</c:v>
                </c:pt>
                <c:pt idx="164">
                  <c:v>50.9</c:v>
                </c:pt>
                <c:pt idx="165">
                  <c:v>50.9</c:v>
                </c:pt>
                <c:pt idx="166">
                  <c:v>50.3</c:v>
                </c:pt>
                <c:pt idx="167">
                  <c:v>52.8</c:v>
                </c:pt>
                <c:pt idx="168">
                  <c:v>52.2</c:v>
                </c:pt>
                <c:pt idx="169">
                  <c:v>51.6</c:v>
                </c:pt>
                <c:pt idx="170">
                  <c:v>53.5</c:v>
                </c:pt>
                <c:pt idx="171">
                  <c:v>54.7</c:v>
                </c:pt>
                <c:pt idx="172">
                  <c:v>54.1</c:v>
                </c:pt>
                <c:pt idx="173">
                  <c:v>53.5</c:v>
                </c:pt>
                <c:pt idx="174">
                  <c:v>54.1</c:v>
                </c:pt>
                <c:pt idx="175">
                  <c:v>54.7</c:v>
                </c:pt>
                <c:pt idx="176">
                  <c:v>54.7</c:v>
                </c:pt>
                <c:pt idx="177">
                  <c:v>55.3</c:v>
                </c:pt>
                <c:pt idx="178">
                  <c:v>52.8</c:v>
                </c:pt>
                <c:pt idx="179">
                  <c:v>54.7</c:v>
                </c:pt>
                <c:pt idx="180">
                  <c:v>53.5</c:v>
                </c:pt>
                <c:pt idx="181">
                  <c:v>54.7</c:v>
                </c:pt>
                <c:pt idx="182">
                  <c:v>55.3</c:v>
                </c:pt>
                <c:pt idx="183">
                  <c:v>56.6</c:v>
                </c:pt>
                <c:pt idx="184">
                  <c:v>56</c:v>
                </c:pt>
                <c:pt idx="185">
                  <c:v>54.7</c:v>
                </c:pt>
                <c:pt idx="186">
                  <c:v>57.2</c:v>
                </c:pt>
                <c:pt idx="187">
                  <c:v>55.3</c:v>
                </c:pt>
                <c:pt idx="188">
                  <c:v>55.3</c:v>
                </c:pt>
                <c:pt idx="189">
                  <c:v>56</c:v>
                </c:pt>
                <c:pt idx="190">
                  <c:v>57.2</c:v>
                </c:pt>
                <c:pt idx="191">
                  <c:v>59.1</c:v>
                </c:pt>
                <c:pt idx="192">
                  <c:v>55.3</c:v>
                </c:pt>
                <c:pt idx="193">
                  <c:v>55.3</c:v>
                </c:pt>
                <c:pt idx="194">
                  <c:v>55.3</c:v>
                </c:pt>
                <c:pt idx="195">
                  <c:v>56.6</c:v>
                </c:pt>
                <c:pt idx="196">
                  <c:v>57.2</c:v>
                </c:pt>
                <c:pt idx="197">
                  <c:v>54.7</c:v>
                </c:pt>
                <c:pt idx="198">
                  <c:v>59.1</c:v>
                </c:pt>
                <c:pt idx="199">
                  <c:v>56.6</c:v>
                </c:pt>
                <c:pt idx="200">
                  <c:v>56.6</c:v>
                </c:pt>
                <c:pt idx="201">
                  <c:v>56</c:v>
                </c:pt>
                <c:pt idx="202">
                  <c:v>54.7</c:v>
                </c:pt>
                <c:pt idx="203">
                  <c:v>56</c:v>
                </c:pt>
                <c:pt idx="204">
                  <c:v>55.3</c:v>
                </c:pt>
                <c:pt idx="205">
                  <c:v>55.3</c:v>
                </c:pt>
                <c:pt idx="206">
                  <c:v>55.3</c:v>
                </c:pt>
                <c:pt idx="207">
                  <c:v>56</c:v>
                </c:pt>
                <c:pt idx="208">
                  <c:v>54.7</c:v>
                </c:pt>
                <c:pt idx="209">
                  <c:v>53.5</c:v>
                </c:pt>
                <c:pt idx="210">
                  <c:v>54.7</c:v>
                </c:pt>
                <c:pt idx="211">
                  <c:v>54.1</c:v>
                </c:pt>
                <c:pt idx="212">
                  <c:v>54.1</c:v>
                </c:pt>
                <c:pt idx="213">
                  <c:v>54.1</c:v>
                </c:pt>
                <c:pt idx="214">
                  <c:v>53.5</c:v>
                </c:pt>
                <c:pt idx="215">
                  <c:v>54.1</c:v>
                </c:pt>
                <c:pt idx="216">
                  <c:v>53.5</c:v>
                </c:pt>
                <c:pt idx="217">
                  <c:v>52.2</c:v>
                </c:pt>
                <c:pt idx="218">
                  <c:v>53.5</c:v>
                </c:pt>
                <c:pt idx="219">
                  <c:v>52.2</c:v>
                </c:pt>
                <c:pt idx="220">
                  <c:v>52.8</c:v>
                </c:pt>
                <c:pt idx="221">
                  <c:v>52.8</c:v>
                </c:pt>
                <c:pt idx="222">
                  <c:v>52.2</c:v>
                </c:pt>
                <c:pt idx="223">
                  <c:v>52.2</c:v>
                </c:pt>
                <c:pt idx="224">
                  <c:v>53.5</c:v>
                </c:pt>
                <c:pt idx="225">
                  <c:v>51.6</c:v>
                </c:pt>
                <c:pt idx="226">
                  <c:v>50.3</c:v>
                </c:pt>
                <c:pt idx="227">
                  <c:v>51.6</c:v>
                </c:pt>
                <c:pt idx="228">
                  <c:v>49.7</c:v>
                </c:pt>
                <c:pt idx="229">
                  <c:v>50.9</c:v>
                </c:pt>
                <c:pt idx="230">
                  <c:v>49.7</c:v>
                </c:pt>
                <c:pt idx="231">
                  <c:v>49.7</c:v>
                </c:pt>
                <c:pt idx="232">
                  <c:v>50.3</c:v>
                </c:pt>
                <c:pt idx="233">
                  <c:v>50.9</c:v>
                </c:pt>
                <c:pt idx="234">
                  <c:v>50.3</c:v>
                </c:pt>
                <c:pt idx="235">
                  <c:v>50.3</c:v>
                </c:pt>
                <c:pt idx="236">
                  <c:v>48.4</c:v>
                </c:pt>
                <c:pt idx="237">
                  <c:v>49.1</c:v>
                </c:pt>
                <c:pt idx="238">
                  <c:v>49.1</c:v>
                </c:pt>
                <c:pt idx="239">
                  <c:v>49.7</c:v>
                </c:pt>
                <c:pt idx="240">
                  <c:v>49.1</c:v>
                </c:pt>
                <c:pt idx="241">
                  <c:v>48.4</c:v>
                </c:pt>
                <c:pt idx="242">
                  <c:v>48.4</c:v>
                </c:pt>
                <c:pt idx="243">
                  <c:v>49.7</c:v>
                </c:pt>
                <c:pt idx="244">
                  <c:v>47.8</c:v>
                </c:pt>
                <c:pt idx="245">
                  <c:v>49.1</c:v>
                </c:pt>
                <c:pt idx="246">
                  <c:v>48.4</c:v>
                </c:pt>
                <c:pt idx="247">
                  <c:v>48.4</c:v>
                </c:pt>
                <c:pt idx="248">
                  <c:v>48.4</c:v>
                </c:pt>
                <c:pt idx="249">
                  <c:v>47.8</c:v>
                </c:pt>
                <c:pt idx="250">
                  <c:v>48.4</c:v>
                </c:pt>
                <c:pt idx="251">
                  <c:v>49.1</c:v>
                </c:pt>
                <c:pt idx="252">
                  <c:v>49.7</c:v>
                </c:pt>
                <c:pt idx="253">
                  <c:v>50.9</c:v>
                </c:pt>
                <c:pt idx="254">
                  <c:v>47.2</c:v>
                </c:pt>
                <c:pt idx="255">
                  <c:v>47.2</c:v>
                </c:pt>
                <c:pt idx="256">
                  <c:v>46.5</c:v>
                </c:pt>
                <c:pt idx="257">
                  <c:v>47.8</c:v>
                </c:pt>
                <c:pt idx="258">
                  <c:v>49.1</c:v>
                </c:pt>
                <c:pt idx="259">
                  <c:v>49.1</c:v>
                </c:pt>
                <c:pt idx="260">
                  <c:v>48.4</c:v>
                </c:pt>
                <c:pt idx="261">
                  <c:v>46.5</c:v>
                </c:pt>
                <c:pt idx="262">
                  <c:v>46.5</c:v>
                </c:pt>
                <c:pt idx="263">
                  <c:v>47.8</c:v>
                </c:pt>
                <c:pt idx="264">
                  <c:v>47.8</c:v>
                </c:pt>
                <c:pt idx="265">
                  <c:v>48.4</c:v>
                </c:pt>
                <c:pt idx="266">
                  <c:v>45.9</c:v>
                </c:pt>
                <c:pt idx="267">
                  <c:v>47.2</c:v>
                </c:pt>
                <c:pt idx="268">
                  <c:v>48.4</c:v>
                </c:pt>
                <c:pt idx="269">
                  <c:v>50.3</c:v>
                </c:pt>
                <c:pt idx="270">
                  <c:v>49.1</c:v>
                </c:pt>
                <c:pt idx="271">
                  <c:v>47.8</c:v>
                </c:pt>
                <c:pt idx="272">
                  <c:v>47.2</c:v>
                </c:pt>
                <c:pt idx="273">
                  <c:v>49.1</c:v>
                </c:pt>
                <c:pt idx="274">
                  <c:v>49.1</c:v>
                </c:pt>
                <c:pt idx="275">
                  <c:v>48.4</c:v>
                </c:pt>
                <c:pt idx="276">
                  <c:v>48.4</c:v>
                </c:pt>
                <c:pt idx="277">
                  <c:v>50.3</c:v>
                </c:pt>
                <c:pt idx="278">
                  <c:v>50.3</c:v>
                </c:pt>
                <c:pt idx="279">
                  <c:v>49.1</c:v>
                </c:pt>
                <c:pt idx="280">
                  <c:v>49.1</c:v>
                </c:pt>
                <c:pt idx="281">
                  <c:v>50.3</c:v>
                </c:pt>
                <c:pt idx="282">
                  <c:v>50.3</c:v>
                </c:pt>
                <c:pt idx="283">
                  <c:v>49.1</c:v>
                </c:pt>
                <c:pt idx="284">
                  <c:v>45.9</c:v>
                </c:pt>
                <c:pt idx="285">
                  <c:v>49.1</c:v>
                </c:pt>
                <c:pt idx="286">
                  <c:v>49.1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2017"/>
        <c:axId val="511722018"/>
      </c:lineChart>
      <c:catAx>
        <c:axId val="51172201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2018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51172201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201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5419724"/>
      <a:ext cx="10029824" cy="5467348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I vs Error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70330"/>
          <c:y val="0.149580"/>
          <c:w val="0.917370"/>
          <c:h val="0.732150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 Term (Ki=0.2)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7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Sheet1!$J$2:$J$288</c:f>
              <c:numCache>
                <c:formatCode>General</c:formatCode>
                <c:ptCount val="287"/>
                <c:pt idx="0">
                  <c:v>12.899999999999999</c:v>
                </c:pt>
                <c:pt idx="1">
                  <c:v>13</c:v>
                </c:pt>
                <c:pt idx="2">
                  <c:v>12.7</c:v>
                </c:pt>
                <c:pt idx="3">
                  <c:v>13.100000000000001</c:v>
                </c:pt>
                <c:pt idx="4">
                  <c:v>12.7</c:v>
                </c:pt>
                <c:pt idx="5">
                  <c:v>13</c:v>
                </c:pt>
                <c:pt idx="6">
                  <c:v>12.5</c:v>
                </c:pt>
                <c:pt idx="7">
                  <c:v>12.899999999999999</c:v>
                </c:pt>
                <c:pt idx="8">
                  <c:v>12.8</c:v>
                </c:pt>
                <c:pt idx="9">
                  <c:v>12.5</c:v>
                </c:pt>
                <c:pt idx="10">
                  <c:v>12.5</c:v>
                </c:pt>
                <c:pt idx="11">
                  <c:v>12.3</c:v>
                </c:pt>
                <c:pt idx="12">
                  <c:v>12.3</c:v>
                </c:pt>
                <c:pt idx="13">
                  <c:v>12.399999999999999</c:v>
                </c:pt>
                <c:pt idx="14">
                  <c:v>12</c:v>
                </c:pt>
                <c:pt idx="15">
                  <c:v>11.600000000000001</c:v>
                </c:pt>
                <c:pt idx="16">
                  <c:v>11.7</c:v>
                </c:pt>
                <c:pt idx="17">
                  <c:v>11.5</c:v>
                </c:pt>
                <c:pt idx="18">
                  <c:v>11.2</c:v>
                </c:pt>
                <c:pt idx="19">
                  <c:v>11.2</c:v>
                </c:pt>
                <c:pt idx="20">
                  <c:v>11</c:v>
                </c:pt>
                <c:pt idx="21">
                  <c:v>10.899999999999999</c:v>
                </c:pt>
                <c:pt idx="22">
                  <c:v>10.600000000000001</c:v>
                </c:pt>
                <c:pt idx="23">
                  <c:v>10.399999999999999</c:v>
                </c:pt>
                <c:pt idx="24">
                  <c:v>10.399999999999999</c:v>
                </c:pt>
                <c:pt idx="25">
                  <c:v>10</c:v>
                </c:pt>
                <c:pt idx="26">
                  <c:v>9.8</c:v>
                </c:pt>
                <c:pt idx="27">
                  <c:v>9.600000000000001</c:v>
                </c:pt>
                <c:pt idx="28">
                  <c:v>9.2</c:v>
                </c:pt>
                <c:pt idx="29">
                  <c:v>9</c:v>
                </c:pt>
                <c:pt idx="30">
                  <c:v>8.899999999999999</c:v>
                </c:pt>
                <c:pt idx="31">
                  <c:v>8.899999999999999</c:v>
                </c:pt>
                <c:pt idx="32">
                  <c:v>8.7</c:v>
                </c:pt>
                <c:pt idx="33">
                  <c:v>8.100000000000001</c:v>
                </c:pt>
                <c:pt idx="34">
                  <c:v>7.899999999999999</c:v>
                </c:pt>
                <c:pt idx="35">
                  <c:v>7.699999999999999</c:v>
                </c:pt>
                <c:pt idx="36">
                  <c:v>7.300000000000001</c:v>
                </c:pt>
                <c:pt idx="37">
                  <c:v>7.199999999999999</c:v>
                </c:pt>
                <c:pt idx="38">
                  <c:v>7</c:v>
                </c:pt>
                <c:pt idx="39">
                  <c:v>6.600000000000001</c:v>
                </c:pt>
                <c:pt idx="40">
                  <c:v>6.399999999999999</c:v>
                </c:pt>
                <c:pt idx="41">
                  <c:v>6.199999999999999</c:v>
                </c:pt>
                <c:pt idx="42">
                  <c:v>5.800000000000001</c:v>
                </c:pt>
                <c:pt idx="43">
                  <c:v>5.699999999999999</c:v>
                </c:pt>
                <c:pt idx="44">
                  <c:v>5.800000000000001</c:v>
                </c:pt>
                <c:pt idx="45">
                  <c:v>5.100000000000001</c:v>
                </c:pt>
                <c:pt idx="46">
                  <c:v>4.899999999999999</c:v>
                </c:pt>
                <c:pt idx="47">
                  <c:v>4.600000000000001</c:v>
                </c:pt>
                <c:pt idx="48">
                  <c:v>4</c:v>
                </c:pt>
                <c:pt idx="49">
                  <c:v>4.299999999999997</c:v>
                </c:pt>
                <c:pt idx="50">
                  <c:v>4.100000000000001</c:v>
                </c:pt>
                <c:pt idx="51">
                  <c:v>3.5</c:v>
                </c:pt>
                <c:pt idx="52">
                  <c:v>3.3999999999999986</c:v>
                </c:pt>
                <c:pt idx="53">
                  <c:v>3.200000000000003</c:v>
                </c:pt>
                <c:pt idx="54">
                  <c:v>2.700000000000003</c:v>
                </c:pt>
                <c:pt idx="55">
                  <c:v>2.700000000000003</c:v>
                </c:pt>
                <c:pt idx="56">
                  <c:v>2.1000000000000014</c:v>
                </c:pt>
                <c:pt idx="57">
                  <c:v>2</c:v>
                </c:pt>
                <c:pt idx="58">
                  <c:v>2.200000000000003</c:v>
                </c:pt>
                <c:pt idx="59">
                  <c:v>1.7999999999999972</c:v>
                </c:pt>
                <c:pt idx="60">
                  <c:v>1.2000000000000028</c:v>
                </c:pt>
                <c:pt idx="61">
                  <c:v>1.2000000000000028</c:v>
                </c:pt>
                <c:pt idx="62">
                  <c:v>1</c:v>
                </c:pt>
                <c:pt idx="63">
                  <c:v>0.6000000000000014</c:v>
                </c:pt>
                <c:pt idx="64">
                  <c:v>0.5</c:v>
                </c:pt>
                <c:pt idx="65">
                  <c:v>0.20000000000000284</c:v>
                </c:pt>
                <c:pt idx="66">
                  <c:v>0</c:v>
                </c:pt>
                <c:pt idx="67">
                  <c:v>-0.20000000000000284</c:v>
                </c:pt>
                <c:pt idx="68">
                  <c:v>-0.7000000000000028</c:v>
                </c:pt>
                <c:pt idx="69">
                  <c:v>-0.5</c:v>
                </c:pt>
                <c:pt idx="70">
                  <c:v>-1.1000000000000014</c:v>
                </c:pt>
                <c:pt idx="71">
                  <c:v>-0.7999999999999972</c:v>
                </c:pt>
                <c:pt idx="72">
                  <c:v>-1.2999999999999972</c:v>
                </c:pt>
                <c:pt idx="73">
                  <c:v>-1.3999999999999986</c:v>
                </c:pt>
                <c:pt idx="74">
                  <c:v>-1.6000000000000014</c:v>
                </c:pt>
                <c:pt idx="75">
                  <c:v>-1.7000000000000028</c:v>
                </c:pt>
                <c:pt idx="76">
                  <c:v>-1.6000000000000014</c:v>
                </c:pt>
                <c:pt idx="77">
                  <c:v>-2</c:v>
                </c:pt>
                <c:pt idx="78">
                  <c:v>-2</c:v>
                </c:pt>
                <c:pt idx="79">
                  <c:v>-2.3999999999999986</c:v>
                </c:pt>
                <c:pt idx="80">
                  <c:v>-2.3999999999999986</c:v>
                </c:pt>
                <c:pt idx="81">
                  <c:v>-2.6000000000000014</c:v>
                </c:pt>
                <c:pt idx="82">
                  <c:v>-2.6000000000000014</c:v>
                </c:pt>
                <c:pt idx="83">
                  <c:v>-2.6000000000000014</c:v>
                </c:pt>
                <c:pt idx="84">
                  <c:v>-2.799999999999997</c:v>
                </c:pt>
                <c:pt idx="85">
                  <c:v>-2.8999999999999986</c:v>
                </c:pt>
                <c:pt idx="86">
                  <c:v>-3</c:v>
                </c:pt>
                <c:pt idx="87">
                  <c:v>-3.1000000000000014</c:v>
                </c:pt>
                <c:pt idx="88">
                  <c:v>-3.299999999999997</c:v>
                </c:pt>
                <c:pt idx="89">
                  <c:v>-3.299999999999997</c:v>
                </c:pt>
                <c:pt idx="90">
                  <c:v>-3.1000000000000014</c:v>
                </c:pt>
                <c:pt idx="91">
                  <c:v>-3.1000000000000014</c:v>
                </c:pt>
                <c:pt idx="92">
                  <c:v>-3.1000000000000014</c:v>
                </c:pt>
                <c:pt idx="93">
                  <c:v>-3.700000000000003</c:v>
                </c:pt>
                <c:pt idx="94">
                  <c:v>-3.200000000000003</c:v>
                </c:pt>
                <c:pt idx="95">
                  <c:v>-3.299999999999997</c:v>
                </c:pt>
                <c:pt idx="96">
                  <c:v>-3.299999999999997</c:v>
                </c:pt>
                <c:pt idx="97">
                  <c:v>-3</c:v>
                </c:pt>
                <c:pt idx="98">
                  <c:v>-3.299999999999997</c:v>
                </c:pt>
                <c:pt idx="99">
                  <c:v>-3.1000000000000014</c:v>
                </c:pt>
                <c:pt idx="100">
                  <c:v>-3</c:v>
                </c:pt>
                <c:pt idx="101">
                  <c:v>-3.1000000000000014</c:v>
                </c:pt>
                <c:pt idx="102">
                  <c:v>-3.299999999999997</c:v>
                </c:pt>
                <c:pt idx="103">
                  <c:v>-3.200000000000003</c:v>
                </c:pt>
                <c:pt idx="104">
                  <c:v>-3.299999999999997</c:v>
                </c:pt>
                <c:pt idx="105">
                  <c:v>-3.1000000000000014</c:v>
                </c:pt>
                <c:pt idx="106">
                  <c:v>-3</c:v>
                </c:pt>
                <c:pt idx="107">
                  <c:v>-2.8999999999999986</c:v>
                </c:pt>
                <c:pt idx="108">
                  <c:v>-2.8999999999999986</c:v>
                </c:pt>
                <c:pt idx="109">
                  <c:v>-3</c:v>
                </c:pt>
                <c:pt idx="110">
                  <c:v>-2.6000000000000014</c:v>
                </c:pt>
                <c:pt idx="111">
                  <c:v>-2.799999999999997</c:v>
                </c:pt>
                <c:pt idx="112">
                  <c:v>-2.5</c:v>
                </c:pt>
                <c:pt idx="113">
                  <c:v>-2.6000000000000014</c:v>
                </c:pt>
                <c:pt idx="114">
                  <c:v>-2.6000000000000014</c:v>
                </c:pt>
                <c:pt idx="115">
                  <c:v>-2.5</c:v>
                </c:pt>
                <c:pt idx="116">
                  <c:v>-2.3999999999999986</c:v>
                </c:pt>
                <c:pt idx="117">
                  <c:v>-2.299999999999997</c:v>
                </c:pt>
                <c:pt idx="118">
                  <c:v>-2.1000000000000014</c:v>
                </c:pt>
                <c:pt idx="119">
                  <c:v>-2.200000000000003</c:v>
                </c:pt>
                <c:pt idx="120">
                  <c:v>-2.1000000000000014</c:v>
                </c:pt>
                <c:pt idx="121">
                  <c:v>-2</c:v>
                </c:pt>
                <c:pt idx="122">
                  <c:v>-1.8999999999999986</c:v>
                </c:pt>
                <c:pt idx="123">
                  <c:v>-2</c:v>
                </c:pt>
                <c:pt idx="124">
                  <c:v>-1.7000000000000028</c:v>
                </c:pt>
                <c:pt idx="125">
                  <c:v>-1.7000000000000028</c:v>
                </c:pt>
                <c:pt idx="126">
                  <c:v>-1.6000000000000014</c:v>
                </c:pt>
                <c:pt idx="127">
                  <c:v>-1.6000000000000014</c:v>
                </c:pt>
                <c:pt idx="128">
                  <c:v>-1.5</c:v>
                </c:pt>
                <c:pt idx="129">
                  <c:v>-1.5</c:v>
                </c:pt>
                <c:pt idx="130">
                  <c:v>-1.2999999999999972</c:v>
                </c:pt>
                <c:pt idx="131">
                  <c:v>-1.2999999999999972</c:v>
                </c:pt>
                <c:pt idx="132">
                  <c:v>-1.2999999999999972</c:v>
                </c:pt>
                <c:pt idx="133">
                  <c:v>-1.2000000000000028</c:v>
                </c:pt>
                <c:pt idx="134">
                  <c:v>-1</c:v>
                </c:pt>
                <c:pt idx="135">
                  <c:v>-0.7999999999999972</c:v>
                </c:pt>
                <c:pt idx="136">
                  <c:v>-0.7999999999999972</c:v>
                </c:pt>
                <c:pt idx="137">
                  <c:v>-0.7999999999999972</c:v>
                </c:pt>
                <c:pt idx="138">
                  <c:v>-1</c:v>
                </c:pt>
                <c:pt idx="139">
                  <c:v>-0.6000000000000014</c:v>
                </c:pt>
                <c:pt idx="140">
                  <c:v>-0.6000000000000014</c:v>
                </c:pt>
                <c:pt idx="141">
                  <c:v>-0.6000000000000014</c:v>
                </c:pt>
                <c:pt idx="142">
                  <c:v>-0.6000000000000014</c:v>
                </c:pt>
                <c:pt idx="143">
                  <c:v>-0.3999999999999986</c:v>
                </c:pt>
                <c:pt idx="144">
                  <c:v>-0.29999999999999716</c:v>
                </c:pt>
                <c:pt idx="145">
                  <c:v>-0.29999999999999716</c:v>
                </c:pt>
                <c:pt idx="146">
                  <c:v>-0.10000000000000142</c:v>
                </c:pt>
                <c:pt idx="147">
                  <c:v>-0.29999999999999716</c:v>
                </c:pt>
                <c:pt idx="148">
                  <c:v>-0.20000000000000284</c:v>
                </c:pt>
                <c:pt idx="149">
                  <c:v>-0.3999999999999986</c:v>
                </c:pt>
                <c:pt idx="150">
                  <c:v>0</c:v>
                </c:pt>
                <c:pt idx="151">
                  <c:v>0</c:v>
                </c:pt>
                <c:pt idx="152">
                  <c:v>0.10000000000000142</c:v>
                </c:pt>
                <c:pt idx="153">
                  <c:v>0.10000000000000142</c:v>
                </c:pt>
                <c:pt idx="154">
                  <c:v>0.10000000000000142</c:v>
                </c:pt>
                <c:pt idx="155">
                  <c:v>0.29999999999999716</c:v>
                </c:pt>
                <c:pt idx="156">
                  <c:v>0.20000000000000284</c:v>
                </c:pt>
                <c:pt idx="157">
                  <c:v>0.20000000000000284</c:v>
                </c:pt>
                <c:pt idx="158">
                  <c:v>0.29999999999999716</c:v>
                </c:pt>
                <c:pt idx="159">
                  <c:v>0.29999999999999716</c:v>
                </c:pt>
                <c:pt idx="160">
                  <c:v>0.3999999999999986</c:v>
                </c:pt>
                <c:pt idx="161">
                  <c:v>0.5</c:v>
                </c:pt>
                <c:pt idx="162">
                  <c:v>0.6000000000000014</c:v>
                </c:pt>
                <c:pt idx="163">
                  <c:v>0.3999999999999986</c:v>
                </c:pt>
                <c:pt idx="164">
                  <c:v>0.6000000000000014</c:v>
                </c:pt>
                <c:pt idx="165">
                  <c:v>0.3999999999999986</c:v>
                </c:pt>
                <c:pt idx="166">
                  <c:v>0.5</c:v>
                </c:pt>
                <c:pt idx="167">
                  <c:v>0.7000000000000028</c:v>
                </c:pt>
                <c:pt idx="168">
                  <c:v>0.6000000000000014</c:v>
                </c:pt>
                <c:pt idx="169">
                  <c:v>0.3999999999999986</c:v>
                </c:pt>
                <c:pt idx="170">
                  <c:v>0.7000000000000028</c:v>
                </c:pt>
                <c:pt idx="171">
                  <c:v>1.2000000000000028</c:v>
                </c:pt>
                <c:pt idx="172">
                  <c:v>0.6000000000000014</c:v>
                </c:pt>
                <c:pt idx="173">
                  <c:v>0.6000000000000014</c:v>
                </c:pt>
                <c:pt idx="174">
                  <c:v>0.7999999999999972</c:v>
                </c:pt>
                <c:pt idx="175">
                  <c:v>0.7999999999999972</c:v>
                </c:pt>
                <c:pt idx="176">
                  <c:v>0.7000000000000028</c:v>
                </c:pt>
                <c:pt idx="177">
                  <c:v>0.7000000000000028</c:v>
                </c:pt>
                <c:pt idx="178">
                  <c:v>0.7999999999999972</c:v>
                </c:pt>
                <c:pt idx="179">
                  <c:v>0.8999999999999986</c:v>
                </c:pt>
                <c:pt idx="180">
                  <c:v>0.6000000000000014</c:v>
                </c:pt>
                <c:pt idx="181">
                  <c:v>0.7000000000000028</c:v>
                </c:pt>
                <c:pt idx="182">
                  <c:v>0.7999999999999972</c:v>
                </c:pt>
                <c:pt idx="183">
                  <c:v>1</c:v>
                </c:pt>
                <c:pt idx="184">
                  <c:v>0.7999999999999972</c:v>
                </c:pt>
                <c:pt idx="185">
                  <c:v>0.7000000000000028</c:v>
                </c:pt>
                <c:pt idx="186">
                  <c:v>1</c:v>
                </c:pt>
                <c:pt idx="187">
                  <c:v>0.7999999999999972</c:v>
                </c:pt>
                <c:pt idx="188">
                  <c:v>0.6000000000000014</c:v>
                </c:pt>
                <c:pt idx="189">
                  <c:v>0.7999999999999972</c:v>
                </c:pt>
                <c:pt idx="190">
                  <c:v>0.7000000000000028</c:v>
                </c:pt>
                <c:pt idx="191">
                  <c:v>0.8999999999999986</c:v>
                </c:pt>
                <c:pt idx="192">
                  <c:v>0.6000000000000014</c:v>
                </c:pt>
                <c:pt idx="193">
                  <c:v>0.6000000000000014</c:v>
                </c:pt>
                <c:pt idx="194">
                  <c:v>0.7000000000000028</c:v>
                </c:pt>
                <c:pt idx="195">
                  <c:v>1</c:v>
                </c:pt>
                <c:pt idx="196">
                  <c:v>1.1000000000000014</c:v>
                </c:pt>
                <c:pt idx="197">
                  <c:v>0.7000000000000028</c:v>
                </c:pt>
                <c:pt idx="198">
                  <c:v>1.2000000000000028</c:v>
                </c:pt>
                <c:pt idx="199">
                  <c:v>0.5</c:v>
                </c:pt>
                <c:pt idx="200">
                  <c:v>0.6000000000000014</c:v>
                </c:pt>
                <c:pt idx="201">
                  <c:v>0.7999999999999972</c:v>
                </c:pt>
                <c:pt idx="202">
                  <c:v>0.5</c:v>
                </c:pt>
                <c:pt idx="203">
                  <c:v>0.6000000000000014</c:v>
                </c:pt>
                <c:pt idx="204">
                  <c:v>0.6000000000000014</c:v>
                </c:pt>
                <c:pt idx="205">
                  <c:v>0.6000000000000014</c:v>
                </c:pt>
                <c:pt idx="206">
                  <c:v>0.6000000000000014</c:v>
                </c:pt>
                <c:pt idx="207">
                  <c:v>0.6000000000000014</c:v>
                </c:pt>
                <c:pt idx="208">
                  <c:v>0.3999999999999986</c:v>
                </c:pt>
                <c:pt idx="209">
                  <c:v>0.3999999999999986</c:v>
                </c:pt>
                <c:pt idx="210">
                  <c:v>0.3999999999999986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0.3999999999999986</c:v>
                </c:pt>
                <c:pt idx="215">
                  <c:v>0.3999999999999986</c:v>
                </c:pt>
                <c:pt idx="216">
                  <c:v>0.29999999999999716</c:v>
                </c:pt>
                <c:pt idx="217">
                  <c:v>0.3999999999999986</c:v>
                </c:pt>
                <c:pt idx="218">
                  <c:v>0.29999999999999716</c:v>
                </c:pt>
                <c:pt idx="219">
                  <c:v>0.29999999999999716</c:v>
                </c:pt>
                <c:pt idx="220">
                  <c:v>0.29999999999999716</c:v>
                </c:pt>
                <c:pt idx="221">
                  <c:v>0.29999999999999716</c:v>
                </c:pt>
                <c:pt idx="222">
                  <c:v>0.29999999999999716</c:v>
                </c:pt>
                <c:pt idx="223">
                  <c:v>0.20000000000000284</c:v>
                </c:pt>
                <c:pt idx="224">
                  <c:v>0.29999999999999716</c:v>
                </c:pt>
                <c:pt idx="225">
                  <c:v>0.20000000000000284</c:v>
                </c:pt>
                <c:pt idx="226">
                  <c:v>0.10000000000000142</c:v>
                </c:pt>
                <c:pt idx="227">
                  <c:v>0.29999999999999716</c:v>
                </c:pt>
                <c:pt idx="228">
                  <c:v>0</c:v>
                </c:pt>
                <c:pt idx="229">
                  <c:v>0.20000000000000284</c:v>
                </c:pt>
                <c:pt idx="230">
                  <c:v>-0.10000000000000142</c:v>
                </c:pt>
                <c:pt idx="231">
                  <c:v>0.10000000000000142</c:v>
                </c:pt>
                <c:pt idx="232">
                  <c:v>0</c:v>
                </c:pt>
                <c:pt idx="233">
                  <c:v>0.10000000000000142</c:v>
                </c:pt>
                <c:pt idx="234">
                  <c:v>0.20000000000000284</c:v>
                </c:pt>
                <c:pt idx="235">
                  <c:v>0.10000000000000142</c:v>
                </c:pt>
                <c:pt idx="236">
                  <c:v>-0.20000000000000284</c:v>
                </c:pt>
                <c:pt idx="237">
                  <c:v>0</c:v>
                </c:pt>
                <c:pt idx="238">
                  <c:v>0</c:v>
                </c:pt>
                <c:pt idx="239">
                  <c:v>0.10000000000000142</c:v>
                </c:pt>
                <c:pt idx="240">
                  <c:v>-0.10000000000000142</c:v>
                </c:pt>
                <c:pt idx="241">
                  <c:v>-0.10000000000000142</c:v>
                </c:pt>
                <c:pt idx="242">
                  <c:v>-0.20000000000000284</c:v>
                </c:pt>
                <c:pt idx="243">
                  <c:v>0.10000000000000142</c:v>
                </c:pt>
                <c:pt idx="244">
                  <c:v>-0.20000000000000284</c:v>
                </c:pt>
                <c:pt idx="245">
                  <c:v>0</c:v>
                </c:pt>
                <c:pt idx="246">
                  <c:v>-0.20000000000000284</c:v>
                </c:pt>
                <c:pt idx="247">
                  <c:v>-0.20000000000000284</c:v>
                </c:pt>
                <c:pt idx="248">
                  <c:v>-0.10000000000000142</c:v>
                </c:pt>
                <c:pt idx="249">
                  <c:v>-0.10000000000000142</c:v>
                </c:pt>
                <c:pt idx="250">
                  <c:v>0.10000000000000142</c:v>
                </c:pt>
                <c:pt idx="251">
                  <c:v>0.10000000000000142</c:v>
                </c:pt>
                <c:pt idx="252">
                  <c:v>0.10000000000000142</c:v>
                </c:pt>
                <c:pt idx="253">
                  <c:v>-0.10000000000000142</c:v>
                </c:pt>
                <c:pt idx="254">
                  <c:v>-0.10000000000000142</c:v>
                </c:pt>
                <c:pt idx="255">
                  <c:v>-0.5</c:v>
                </c:pt>
                <c:pt idx="256">
                  <c:v>-0.10000000000000142</c:v>
                </c:pt>
                <c:pt idx="257">
                  <c:v>0</c:v>
                </c:pt>
                <c:pt idx="258">
                  <c:v>-0.10000000000000142</c:v>
                </c:pt>
                <c:pt idx="259">
                  <c:v>0</c:v>
                </c:pt>
                <c:pt idx="260">
                  <c:v>0</c:v>
                </c:pt>
                <c:pt idx="261">
                  <c:v>-0.29999999999999716</c:v>
                </c:pt>
                <c:pt idx="262">
                  <c:v>-0.20000000000000284</c:v>
                </c:pt>
                <c:pt idx="263">
                  <c:v>-0.10000000000000142</c:v>
                </c:pt>
                <c:pt idx="264">
                  <c:v>-0.10000000000000142</c:v>
                </c:pt>
                <c:pt idx="265">
                  <c:v>0.10000000000000142</c:v>
                </c:pt>
                <c:pt idx="266">
                  <c:v>0.10000000000000142</c:v>
                </c:pt>
                <c:pt idx="267">
                  <c:v>-0.10000000000000142</c:v>
                </c:pt>
                <c:pt idx="268">
                  <c:v>0</c:v>
                </c:pt>
                <c:pt idx="269">
                  <c:v>0.20000000000000284</c:v>
                </c:pt>
                <c:pt idx="270">
                  <c:v>-0.20000000000000284</c:v>
                </c:pt>
                <c:pt idx="271">
                  <c:v>-0.10000000000000142</c:v>
                </c:pt>
                <c:pt idx="272">
                  <c:v>0.10000000000000142</c:v>
                </c:pt>
                <c:pt idx="273">
                  <c:v>0.10000000000000142</c:v>
                </c:pt>
                <c:pt idx="274">
                  <c:v>0</c:v>
                </c:pt>
                <c:pt idx="275">
                  <c:v>-0.10000000000000142</c:v>
                </c:pt>
                <c:pt idx="276">
                  <c:v>-0.10000000000000142</c:v>
                </c:pt>
                <c:pt idx="277">
                  <c:v>0.10000000000000142</c:v>
                </c:pt>
                <c:pt idx="278">
                  <c:v>0.29999999999999716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-0.20000000000000284</c:v>
                </c:pt>
                <c:pt idx="285">
                  <c:v>0</c:v>
                </c:pt>
                <c:pt idx="286">
                  <c:v>0</c:v>
                </c:pt>
              </c:numCache>
            </c:numRef>
          </c:cat>
          <c:val>
            <c:numRef>
              <c:f>Sheet1!$C$2:$C$288</c:f>
              <c:numCache>
                <c:formatCode>General</c:formatCode>
                <c:ptCount val="287"/>
                <c:pt idx="0">
                  <c:v>2.57</c:v>
                </c:pt>
                <c:pt idx="1">
                  <c:v>5.16</c:v>
                </c:pt>
                <c:pt idx="2">
                  <c:v>7.73</c:v>
                </c:pt>
                <c:pt idx="3">
                  <c:v>10.32</c:v>
                </c:pt>
                <c:pt idx="4">
                  <c:v>12.89</c:v>
                </c:pt>
                <c:pt idx="5">
                  <c:v>15.44</c:v>
                </c:pt>
                <c:pt idx="6">
                  <c:v>17.97</c:v>
                </c:pt>
                <c:pt idx="7">
                  <c:v>20.53</c:v>
                </c:pt>
                <c:pt idx="8">
                  <c:v>23.07</c:v>
                </c:pt>
                <c:pt idx="9">
                  <c:v>25.56</c:v>
                </c:pt>
                <c:pt idx="10">
                  <c:v>28.06</c:v>
                </c:pt>
                <c:pt idx="11">
                  <c:v>30.53</c:v>
                </c:pt>
                <c:pt idx="12">
                  <c:v>32.99</c:v>
                </c:pt>
                <c:pt idx="13">
                  <c:v>35.45</c:v>
                </c:pt>
                <c:pt idx="14">
                  <c:v>37.85</c:v>
                </c:pt>
                <c:pt idx="15">
                  <c:v>40.22</c:v>
                </c:pt>
                <c:pt idx="16">
                  <c:v>42.58</c:v>
                </c:pt>
                <c:pt idx="17">
                  <c:v>44.9</c:v>
                </c:pt>
                <c:pt idx="18">
                  <c:v>47.17</c:v>
                </c:pt>
                <c:pt idx="19">
                  <c:v>49.42</c:v>
                </c:pt>
                <c:pt idx="20">
                  <c:v>51.62</c:v>
                </c:pt>
                <c:pt idx="21">
                  <c:v>53.81</c:v>
                </c:pt>
                <c:pt idx="22">
                  <c:v>55.93</c:v>
                </c:pt>
                <c:pt idx="23">
                  <c:v>58.01</c:v>
                </c:pt>
                <c:pt idx="24">
                  <c:v>60.07</c:v>
                </c:pt>
                <c:pt idx="25">
                  <c:v>62.07</c:v>
                </c:pt>
                <c:pt idx="26">
                  <c:v>64.04</c:v>
                </c:pt>
                <c:pt idx="27">
                  <c:v>65.97</c:v>
                </c:pt>
                <c:pt idx="28">
                  <c:v>67.85</c:v>
                </c:pt>
                <c:pt idx="29">
                  <c:v>69.67</c:v>
                </c:pt>
                <c:pt idx="30">
                  <c:v>71.47</c:v>
                </c:pt>
                <c:pt idx="31">
                  <c:v>73.23</c:v>
                </c:pt>
                <c:pt idx="32">
                  <c:v>74.96</c:v>
                </c:pt>
                <c:pt idx="33">
                  <c:v>76.6</c:v>
                </c:pt>
                <c:pt idx="34">
                  <c:v>78.22</c:v>
                </c:pt>
                <c:pt idx="35">
                  <c:v>79.77</c:v>
                </c:pt>
                <c:pt idx="36">
                  <c:v>81.27</c:v>
                </c:pt>
                <c:pt idx="37">
                  <c:v>82.73</c:v>
                </c:pt>
                <c:pt idx="38">
                  <c:v>84.13</c:v>
                </c:pt>
                <c:pt idx="39">
                  <c:v>85.49</c:v>
                </c:pt>
                <c:pt idx="40">
                  <c:v>86.78</c:v>
                </c:pt>
                <c:pt idx="41">
                  <c:v>88.03</c:v>
                </c:pt>
                <c:pt idx="42">
                  <c:v>89.23</c:v>
                </c:pt>
                <c:pt idx="43">
                  <c:v>90.39</c:v>
                </c:pt>
                <c:pt idx="44">
                  <c:v>91.53</c:v>
                </c:pt>
                <c:pt idx="45">
                  <c:v>92.56</c:v>
                </c:pt>
                <c:pt idx="46">
                  <c:v>93.56</c:v>
                </c:pt>
                <c:pt idx="47">
                  <c:v>94.52</c:v>
                </c:pt>
                <c:pt idx="48">
                  <c:v>95.38</c:v>
                </c:pt>
                <c:pt idx="49">
                  <c:v>96.26</c:v>
                </c:pt>
                <c:pt idx="50">
                  <c:v>97.08</c:v>
                </c:pt>
                <c:pt idx="51">
                  <c:v>97.83</c:v>
                </c:pt>
                <c:pt idx="52">
                  <c:v>98.51</c:v>
                </c:pt>
                <c:pt idx="53">
                  <c:v>99.15</c:v>
                </c:pt>
                <c:pt idx="54">
                  <c:v>99.73</c:v>
                </c:pt>
                <c:pt idx="55">
                  <c:v>100.29</c:v>
                </c:pt>
                <c:pt idx="56">
                  <c:v>100.75</c:v>
                </c:pt>
                <c:pt idx="57">
                  <c:v>101.19</c:v>
                </c:pt>
                <c:pt idx="58">
                  <c:v>101.6</c:v>
                </c:pt>
                <c:pt idx="59">
                  <c:v>101.95</c:v>
                </c:pt>
                <c:pt idx="60">
                  <c:v>102.26</c:v>
                </c:pt>
                <c:pt idx="61">
                  <c:v>102.5</c:v>
                </c:pt>
                <c:pt idx="62">
                  <c:v>102.71</c:v>
                </c:pt>
                <c:pt idx="63">
                  <c:v>102.87</c:v>
                </c:pt>
                <c:pt idx="64">
                  <c:v>102.99</c:v>
                </c:pt>
                <c:pt idx="65">
                  <c:v>103.05</c:v>
                </c:pt>
                <c:pt idx="66">
                  <c:v>103.08</c:v>
                </c:pt>
                <c:pt idx="67">
                  <c:v>103.05</c:v>
                </c:pt>
                <c:pt idx="68">
                  <c:v>102.97</c:v>
                </c:pt>
                <c:pt idx="69">
                  <c:v>102.88</c:v>
                </c:pt>
                <c:pt idx="70">
                  <c:v>102.73</c:v>
                </c:pt>
                <c:pt idx="71">
                  <c:v>102.58</c:v>
                </c:pt>
                <c:pt idx="72">
                  <c:v>102.35</c:v>
                </c:pt>
                <c:pt idx="73">
                  <c:v>102.08</c:v>
                </c:pt>
                <c:pt idx="74">
                  <c:v>101.78</c:v>
                </c:pt>
                <c:pt idx="75">
                  <c:v>101.47</c:v>
                </c:pt>
                <c:pt idx="76">
                  <c:v>101.14</c:v>
                </c:pt>
                <c:pt idx="77">
                  <c:v>100.78</c:v>
                </c:pt>
                <c:pt idx="78">
                  <c:v>100.39</c:v>
                </c:pt>
                <c:pt idx="79">
                  <c:v>99.93</c:v>
                </c:pt>
                <c:pt idx="80">
                  <c:v>99.47</c:v>
                </c:pt>
                <c:pt idx="81">
                  <c:v>98.97</c:v>
                </c:pt>
                <c:pt idx="82">
                  <c:v>98.43</c:v>
                </c:pt>
                <c:pt idx="83">
                  <c:v>97.89</c:v>
                </c:pt>
                <c:pt idx="84">
                  <c:v>97.33</c:v>
                </c:pt>
                <c:pt idx="85">
                  <c:v>96.76</c:v>
                </c:pt>
                <c:pt idx="86">
                  <c:v>96.17</c:v>
                </c:pt>
                <c:pt idx="87">
                  <c:v>95.57</c:v>
                </c:pt>
                <c:pt idx="88">
                  <c:v>94.95</c:v>
                </c:pt>
                <c:pt idx="89">
                  <c:v>94.31</c:v>
                </c:pt>
                <c:pt idx="90">
                  <c:v>93.69</c:v>
                </c:pt>
                <c:pt idx="91">
                  <c:v>93.05</c:v>
                </c:pt>
                <c:pt idx="92">
                  <c:v>92.42</c:v>
                </c:pt>
                <c:pt idx="93">
                  <c:v>91.74</c:v>
                </c:pt>
                <c:pt idx="94">
                  <c:v>91.09</c:v>
                </c:pt>
                <c:pt idx="95">
                  <c:v>90.45</c:v>
                </c:pt>
                <c:pt idx="96">
                  <c:v>89.79</c:v>
                </c:pt>
                <c:pt idx="97">
                  <c:v>89.15</c:v>
                </c:pt>
                <c:pt idx="98">
                  <c:v>88.5</c:v>
                </c:pt>
                <c:pt idx="99">
                  <c:v>87.85</c:v>
                </c:pt>
                <c:pt idx="100">
                  <c:v>87.24</c:v>
                </c:pt>
                <c:pt idx="101">
                  <c:v>86.63</c:v>
                </c:pt>
                <c:pt idx="102">
                  <c:v>86</c:v>
                </c:pt>
                <c:pt idx="103">
                  <c:v>85.37</c:v>
                </c:pt>
                <c:pt idx="104">
                  <c:v>84.75</c:v>
                </c:pt>
                <c:pt idx="105">
                  <c:v>84.13</c:v>
                </c:pt>
                <c:pt idx="106">
                  <c:v>83.54</c:v>
                </c:pt>
                <c:pt idx="107">
                  <c:v>82.96</c:v>
                </c:pt>
                <c:pt idx="108">
                  <c:v>82.4</c:v>
                </c:pt>
                <c:pt idx="109">
                  <c:v>81.78</c:v>
                </c:pt>
                <c:pt idx="110">
                  <c:v>81.23</c:v>
                </c:pt>
                <c:pt idx="111">
                  <c:v>80.67</c:v>
                </c:pt>
                <c:pt idx="112">
                  <c:v>80.15</c:v>
                </c:pt>
                <c:pt idx="113">
                  <c:v>79.61</c:v>
                </c:pt>
                <c:pt idx="114">
                  <c:v>79.09</c:v>
                </c:pt>
                <c:pt idx="115">
                  <c:v>78.59</c:v>
                </c:pt>
                <c:pt idx="116">
                  <c:v>78.1</c:v>
                </c:pt>
                <c:pt idx="117">
                  <c:v>77.64</c:v>
                </c:pt>
                <c:pt idx="118">
                  <c:v>77.2</c:v>
                </c:pt>
                <c:pt idx="119">
                  <c:v>76.75</c:v>
                </c:pt>
                <c:pt idx="120">
                  <c:v>76.33</c:v>
                </c:pt>
                <c:pt idx="121">
                  <c:v>75.93</c:v>
                </c:pt>
                <c:pt idx="122">
                  <c:v>75.53</c:v>
                </c:pt>
                <c:pt idx="123">
                  <c:v>75.12</c:v>
                </c:pt>
                <c:pt idx="124">
                  <c:v>74.77</c:v>
                </c:pt>
                <c:pt idx="125">
                  <c:v>74.42</c:v>
                </c:pt>
                <c:pt idx="126">
                  <c:v>74.09</c:v>
                </c:pt>
                <c:pt idx="127">
                  <c:v>73.77</c:v>
                </c:pt>
                <c:pt idx="128">
                  <c:v>73.46</c:v>
                </c:pt>
                <c:pt idx="129">
                  <c:v>73.15</c:v>
                </c:pt>
                <c:pt idx="130">
                  <c:v>72.87</c:v>
                </c:pt>
                <c:pt idx="131">
                  <c:v>72.62</c:v>
                </c:pt>
                <c:pt idx="132">
                  <c:v>72.37</c:v>
                </c:pt>
                <c:pt idx="133">
                  <c:v>72.13</c:v>
                </c:pt>
                <c:pt idx="134">
                  <c:v>71.91</c:v>
                </c:pt>
                <c:pt idx="135">
                  <c:v>71.72</c:v>
                </c:pt>
                <c:pt idx="136">
                  <c:v>71.54</c:v>
                </c:pt>
                <c:pt idx="137">
                  <c:v>71.38</c:v>
                </c:pt>
                <c:pt idx="138">
                  <c:v>71.21</c:v>
                </c:pt>
                <c:pt idx="139">
                  <c:v>71.07</c:v>
                </c:pt>
                <c:pt idx="140">
                  <c:v>70.93</c:v>
                </c:pt>
                <c:pt idx="141">
                  <c:v>70.8</c:v>
                </c:pt>
                <c:pt idx="142">
                  <c:v>70.72</c:v>
                </c:pt>
                <c:pt idx="143">
                  <c:v>70.63</c:v>
                </c:pt>
                <c:pt idx="144">
                  <c:v>70.53</c:v>
                </c:pt>
                <c:pt idx="145">
                  <c:v>70.47</c:v>
                </c:pt>
                <c:pt idx="146">
                  <c:v>70.44</c:v>
                </c:pt>
                <c:pt idx="147">
                  <c:v>70.38</c:v>
                </c:pt>
                <c:pt idx="148">
                  <c:v>70.35</c:v>
                </c:pt>
                <c:pt idx="149">
                  <c:v>70.33</c:v>
                </c:pt>
                <c:pt idx="150">
                  <c:v>70.33</c:v>
                </c:pt>
                <c:pt idx="151">
                  <c:v>70.32</c:v>
                </c:pt>
                <c:pt idx="152">
                  <c:v>70.36</c:v>
                </c:pt>
                <c:pt idx="153">
                  <c:v>70.37</c:v>
                </c:pt>
                <c:pt idx="154">
                  <c:v>70.4</c:v>
                </c:pt>
                <c:pt idx="155">
                  <c:v>70.42</c:v>
                </c:pt>
                <c:pt idx="156">
                  <c:v>70.47</c:v>
                </c:pt>
                <c:pt idx="157">
                  <c:v>70.49</c:v>
                </c:pt>
                <c:pt idx="158">
                  <c:v>70.54</c:v>
                </c:pt>
                <c:pt idx="159">
                  <c:v>70.6</c:v>
                </c:pt>
                <c:pt idx="160">
                  <c:v>70.67</c:v>
                </c:pt>
                <c:pt idx="161">
                  <c:v>70.79</c:v>
                </c:pt>
                <c:pt idx="162">
                  <c:v>70.89</c:v>
                </c:pt>
                <c:pt idx="163">
                  <c:v>70.99</c:v>
                </c:pt>
                <c:pt idx="164">
                  <c:v>71.09</c:v>
                </c:pt>
                <c:pt idx="165">
                  <c:v>71.19</c:v>
                </c:pt>
                <c:pt idx="166">
                  <c:v>71.29</c:v>
                </c:pt>
                <c:pt idx="167">
                  <c:v>71.41</c:v>
                </c:pt>
                <c:pt idx="168">
                  <c:v>71.53</c:v>
                </c:pt>
                <c:pt idx="169">
                  <c:v>71.65</c:v>
                </c:pt>
                <c:pt idx="170">
                  <c:v>71.78</c:v>
                </c:pt>
                <c:pt idx="171">
                  <c:v>71.93</c:v>
                </c:pt>
                <c:pt idx="172">
                  <c:v>72.07</c:v>
                </c:pt>
                <c:pt idx="173">
                  <c:v>72.21</c:v>
                </c:pt>
                <c:pt idx="174">
                  <c:v>72.35</c:v>
                </c:pt>
                <c:pt idx="175">
                  <c:v>72.49</c:v>
                </c:pt>
                <c:pt idx="176">
                  <c:v>72.64</c:v>
                </c:pt>
                <c:pt idx="177">
                  <c:v>72.79</c:v>
                </c:pt>
                <c:pt idx="178">
                  <c:v>72.91</c:v>
                </c:pt>
                <c:pt idx="179">
                  <c:v>73.05</c:v>
                </c:pt>
                <c:pt idx="180">
                  <c:v>73.18</c:v>
                </c:pt>
                <c:pt idx="181">
                  <c:v>73.33</c:v>
                </c:pt>
                <c:pt idx="182">
                  <c:v>73.47</c:v>
                </c:pt>
                <c:pt idx="183">
                  <c:v>73.64</c:v>
                </c:pt>
                <c:pt idx="184">
                  <c:v>73.8</c:v>
                </c:pt>
                <c:pt idx="185">
                  <c:v>73.94</c:v>
                </c:pt>
                <c:pt idx="186">
                  <c:v>74.11</c:v>
                </c:pt>
                <c:pt idx="187">
                  <c:v>74.26</c:v>
                </c:pt>
                <c:pt idx="188">
                  <c:v>74.4</c:v>
                </c:pt>
                <c:pt idx="189">
                  <c:v>74.55</c:v>
                </c:pt>
                <c:pt idx="190">
                  <c:v>74.72</c:v>
                </c:pt>
                <c:pt idx="191">
                  <c:v>74.91</c:v>
                </c:pt>
                <c:pt idx="192">
                  <c:v>75.05</c:v>
                </c:pt>
                <c:pt idx="193">
                  <c:v>75.18</c:v>
                </c:pt>
                <c:pt idx="194">
                  <c:v>75.31</c:v>
                </c:pt>
                <c:pt idx="195">
                  <c:v>75.46</c:v>
                </c:pt>
                <c:pt idx="196">
                  <c:v>75.62</c:v>
                </c:pt>
                <c:pt idx="197">
                  <c:v>75.74</c:v>
                </c:pt>
                <c:pt idx="198">
                  <c:v>75.93</c:v>
                </c:pt>
                <c:pt idx="199">
                  <c:v>76.07</c:v>
                </c:pt>
                <c:pt idx="200">
                  <c:v>76.21</c:v>
                </c:pt>
                <c:pt idx="201">
                  <c:v>76.34</c:v>
                </c:pt>
                <c:pt idx="202">
                  <c:v>76.45</c:v>
                </c:pt>
                <c:pt idx="203">
                  <c:v>76.58</c:v>
                </c:pt>
                <c:pt idx="204">
                  <c:v>76.7</c:v>
                </c:pt>
                <c:pt idx="205">
                  <c:v>76.82</c:v>
                </c:pt>
                <c:pt idx="206">
                  <c:v>76.93</c:v>
                </c:pt>
                <c:pt idx="207">
                  <c:v>77.06</c:v>
                </c:pt>
                <c:pt idx="208">
                  <c:v>77.17</c:v>
                </c:pt>
                <c:pt idx="209">
                  <c:v>77.25</c:v>
                </c:pt>
                <c:pt idx="210">
                  <c:v>77.35</c:v>
                </c:pt>
                <c:pt idx="211">
                  <c:v>77.44</c:v>
                </c:pt>
                <c:pt idx="212">
                  <c:v>77.53</c:v>
                </c:pt>
                <c:pt idx="213">
                  <c:v>77.62</c:v>
                </c:pt>
                <c:pt idx="214">
                  <c:v>77.7</c:v>
                </c:pt>
                <c:pt idx="215">
                  <c:v>77.79</c:v>
                </c:pt>
                <c:pt idx="216">
                  <c:v>77.86</c:v>
                </c:pt>
                <c:pt idx="217">
                  <c:v>77.92</c:v>
                </c:pt>
                <c:pt idx="218">
                  <c:v>77.99</c:v>
                </c:pt>
                <c:pt idx="219">
                  <c:v>78.05</c:v>
                </c:pt>
                <c:pt idx="220">
                  <c:v>78.11</c:v>
                </c:pt>
                <c:pt idx="221">
                  <c:v>78.17</c:v>
                </c:pt>
                <c:pt idx="222">
                  <c:v>78.23</c:v>
                </c:pt>
                <c:pt idx="223">
                  <c:v>78.28</c:v>
                </c:pt>
                <c:pt idx="224">
                  <c:v>78.35</c:v>
                </c:pt>
                <c:pt idx="225">
                  <c:v>78.39</c:v>
                </c:pt>
                <c:pt idx="226">
                  <c:v>78.41</c:v>
                </c:pt>
                <c:pt idx="227">
                  <c:v>78.45</c:v>
                </c:pt>
                <c:pt idx="228">
                  <c:v>78.45</c:v>
                </c:pt>
                <c:pt idx="229">
                  <c:v>78.49</c:v>
                </c:pt>
                <c:pt idx="230">
                  <c:v>78.5</c:v>
                </c:pt>
                <c:pt idx="231">
                  <c:v>78.51</c:v>
                </c:pt>
                <c:pt idx="232">
                  <c:v>78.53</c:v>
                </c:pt>
                <c:pt idx="233">
                  <c:v>78.56</c:v>
                </c:pt>
                <c:pt idx="234">
                  <c:v>78.58</c:v>
                </c:pt>
                <c:pt idx="235">
                  <c:v>78.6</c:v>
                </c:pt>
                <c:pt idx="236">
                  <c:v>78.59</c:v>
                </c:pt>
                <c:pt idx="237">
                  <c:v>78.59</c:v>
                </c:pt>
                <c:pt idx="238">
                  <c:v>78.59</c:v>
                </c:pt>
                <c:pt idx="239">
                  <c:v>78.59</c:v>
                </c:pt>
                <c:pt idx="240">
                  <c:v>78.59</c:v>
                </c:pt>
                <c:pt idx="241">
                  <c:v>78.59</c:v>
                </c:pt>
                <c:pt idx="242">
                  <c:v>78.57</c:v>
                </c:pt>
                <c:pt idx="243">
                  <c:v>78.58</c:v>
                </c:pt>
                <c:pt idx="244">
                  <c:v>78.56</c:v>
                </c:pt>
                <c:pt idx="245">
                  <c:v>78.56</c:v>
                </c:pt>
                <c:pt idx="246">
                  <c:v>78.55</c:v>
                </c:pt>
                <c:pt idx="247">
                  <c:v>78.54</c:v>
                </c:pt>
                <c:pt idx="248">
                  <c:v>78.53</c:v>
                </c:pt>
                <c:pt idx="249">
                  <c:v>78.51</c:v>
                </c:pt>
                <c:pt idx="250">
                  <c:v>78.5</c:v>
                </c:pt>
                <c:pt idx="251">
                  <c:v>78.5</c:v>
                </c:pt>
                <c:pt idx="252">
                  <c:v>78.51</c:v>
                </c:pt>
                <c:pt idx="253">
                  <c:v>78.53</c:v>
                </c:pt>
                <c:pt idx="254">
                  <c:v>78.5</c:v>
                </c:pt>
                <c:pt idx="255">
                  <c:v>78.47</c:v>
                </c:pt>
                <c:pt idx="256">
                  <c:v>78.43</c:v>
                </c:pt>
                <c:pt idx="257">
                  <c:v>78.41</c:v>
                </c:pt>
                <c:pt idx="258">
                  <c:v>78.41</c:v>
                </c:pt>
                <c:pt idx="259">
                  <c:v>78.41</c:v>
                </c:pt>
                <c:pt idx="260">
                  <c:v>78.39</c:v>
                </c:pt>
                <c:pt idx="261">
                  <c:v>78.35</c:v>
                </c:pt>
                <c:pt idx="262">
                  <c:v>78.31</c:v>
                </c:pt>
                <c:pt idx="263">
                  <c:v>78.29</c:v>
                </c:pt>
                <c:pt idx="264">
                  <c:v>78.28</c:v>
                </c:pt>
                <c:pt idx="265">
                  <c:v>78.27</c:v>
                </c:pt>
                <c:pt idx="266">
                  <c:v>78.23</c:v>
                </c:pt>
                <c:pt idx="267">
                  <c:v>78.2</c:v>
                </c:pt>
                <c:pt idx="268">
                  <c:v>78.19</c:v>
                </c:pt>
                <c:pt idx="269">
                  <c:v>78.21</c:v>
                </c:pt>
                <c:pt idx="270">
                  <c:v>78.21</c:v>
                </c:pt>
                <c:pt idx="271">
                  <c:v>78.2</c:v>
                </c:pt>
                <c:pt idx="272">
                  <c:v>78.17</c:v>
                </c:pt>
                <c:pt idx="273">
                  <c:v>78.18</c:v>
                </c:pt>
                <c:pt idx="274">
                  <c:v>78.19</c:v>
                </c:pt>
                <c:pt idx="275">
                  <c:v>78.18</c:v>
                </c:pt>
                <c:pt idx="276">
                  <c:v>78.17</c:v>
                </c:pt>
                <c:pt idx="277">
                  <c:v>78.19</c:v>
                </c:pt>
                <c:pt idx="278">
                  <c:v>78.22</c:v>
                </c:pt>
                <c:pt idx="279">
                  <c:v>78.22</c:v>
                </c:pt>
                <c:pt idx="280">
                  <c:v>78.22</c:v>
                </c:pt>
                <c:pt idx="281">
                  <c:v>78.24</c:v>
                </c:pt>
                <c:pt idx="282">
                  <c:v>78.26</c:v>
                </c:pt>
                <c:pt idx="283">
                  <c:v>78.26</c:v>
                </c:pt>
                <c:pt idx="284">
                  <c:v>78.21</c:v>
                </c:pt>
                <c:pt idx="285">
                  <c:v>78.21</c:v>
                </c:pt>
                <c:pt idx="286">
                  <c:v>78.21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866169493"/>
        <c:axId val="1866169494"/>
      </c:lineChart>
      <c:catAx>
        <c:axId val="186616949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Error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4"/>
        <c:crosses val="autoZero"/>
        <c:auto val="1"/>
        <c:lblAlgn val="ctr"/>
        <c:lblOffset val="100"/>
        <c:tickMarkSkip val="1"/>
        <c:noMultiLvlLbl val="0"/>
      </c:catAx>
      <c:valAx>
        <c:axId val="186616949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I Term 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10887073"/>
      <a:ext cx="10029824" cy="5438774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"Better Than Nothing Probably" I term Predictions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Sheet1!$D$1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/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Sheet1!$D$2:$D$288</c:f>
            </c:numRef>
          </c:val>
          <c:smooth val="0"/>
        </c:ser>
        <c:ser>
          <c:idx val="1"/>
          <c:order val="1"/>
          <c:tx>
            <c:strRef>
              <c:f>Sheet1!$O$1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20000"/>
                  <a:lumOff val="80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Sheet1!$O$2:$O$288</c:f>
            </c:numRef>
          </c:val>
          <c:smooth val="0"/>
        </c:ser>
        <c:ser>
          <c:idx val="2"/>
          <c:order val="2"/>
          <c:tx>
            <c:strRef>
              <c:f>Sheet1!$P$1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40000"/>
                  <a:lumOff val="60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Sheet1!$P$2:$P$288</c:f>
            </c:numRef>
          </c:val>
          <c:smooth val="0"/>
        </c:ser>
        <c:ser>
          <c:idx val="3"/>
          <c:order val="3"/>
          <c:tx>
            <c:strRef>
              <c:f>Sheet1!$Q$1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miter lim="800000"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multiLvlStrRef>
              <c:f>Sheet1!$F$2:$G$299</c:f>
            </c:multiLvlStrRef>
          </c:cat>
          <c:val>
            <c:numRef>
              <c:f>Sheet1!$Q$2:$Q$288</c:f>
            </c:numRef>
          </c:val>
          <c:smooth val="0"/>
        </c:ser>
        <c:ser>
          <c:idx val="4"/>
          <c:order val="4"/>
          <c:tx>
            <c:strRef>
              <c:f>Sheet1!$R$1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75000"/>
                </a:schemeClr>
              </a:solidFill>
              <a:prstDash val="solid"/>
              <a:miter lim="800000"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multiLvlStrRef>
              <c:f>Sheet1!$F$2:$G$299</c:f>
            </c:multiLvlStrRef>
          </c:cat>
          <c:val>
            <c:numRef>
              <c:f>Sheet1!$R$2:$R$288</c:f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866169499"/>
        <c:axId val="1866169500"/>
      </c:lineChart>
      <c:catAx>
        <c:axId val="186616949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0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18661695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Duty Cycle </a:t>
                </a:r>
                <a:endParaRPr/>
              </a:p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(out of 159)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16325848"/>
      <a:ext cx="10029824" cy="541019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17460</xdr:rowOff>
    </xdr:from>
    <xdr:to>
      <xdr:col>11</xdr:col>
      <xdr:colOff>866774</xdr:colOff>
      <xdr:row>29</xdr:row>
      <xdr:rowOff>171449</xdr:rowOff>
    </xdr:to>
    <xdr:graphicFrame>
      <xdr:nvGraphicFramePr>
        <xdr:cNvPr id="390215736" name=""/>
        <xdr:cNvGraphicFramePr>
          <a:graphicFrameLocks xmlns:a="http://schemas.openxmlformats.org/drawingml/2006/main"/>
        </xdr:cNvGraphicFramePr>
      </xdr:nvGraphicFramePr>
      <xdr:xfrm rot="0">
        <a:off x="0" y="17460"/>
        <a:ext cx="10029824" cy="540226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29</xdr:row>
      <xdr:rowOff>171449</xdr:rowOff>
    </xdr:from>
    <xdr:to>
      <xdr:col>11</xdr:col>
      <xdr:colOff>866774</xdr:colOff>
      <xdr:row>60</xdr:row>
      <xdr:rowOff>28573</xdr:rowOff>
    </xdr:to>
    <xdr:graphicFrame>
      <xdr:nvGraphicFramePr>
        <xdr:cNvPr id="1439524514" name=""/>
        <xdr:cNvGraphicFramePr>
          <a:graphicFrameLocks xmlns:a="http://schemas.openxmlformats.org/drawingml/2006/main"/>
        </xdr:cNvGraphicFramePr>
      </xdr:nvGraphicFramePr>
      <xdr:xfrm rot="0">
        <a:off x="0" y="5419724"/>
        <a:ext cx="10029824" cy="54673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60</xdr:row>
      <xdr:rowOff>28573</xdr:rowOff>
    </xdr:from>
    <xdr:to>
      <xdr:col>11</xdr:col>
      <xdr:colOff>866774</xdr:colOff>
      <xdr:row>90</xdr:row>
      <xdr:rowOff>38098</xdr:rowOff>
    </xdr:to>
    <xdr:graphicFrame>
      <xdr:nvGraphicFramePr>
        <xdr:cNvPr id="1516388443" name=""/>
        <xdr:cNvGraphicFramePr>
          <a:graphicFrameLocks xmlns:a="http://schemas.openxmlformats.org/drawingml/2006/main"/>
        </xdr:cNvGraphicFramePr>
      </xdr:nvGraphicFramePr>
      <xdr:xfrm rot="0">
        <a:off x="0" y="10887073"/>
        <a:ext cx="10029824" cy="54387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0</xdr:col>
      <xdr:colOff>0</xdr:colOff>
      <xdr:row>90</xdr:row>
      <xdr:rowOff>38098</xdr:rowOff>
    </xdr:from>
    <xdr:to>
      <xdr:col>11</xdr:col>
      <xdr:colOff>866774</xdr:colOff>
      <xdr:row>120</xdr:row>
      <xdr:rowOff>19048</xdr:rowOff>
    </xdr:to>
    <xdr:graphicFrame>
      <xdr:nvGraphicFramePr>
        <xdr:cNvPr id="1030398698" name=""/>
        <xdr:cNvGraphicFramePr>
          <a:graphicFrameLocks xmlns:a="http://schemas.openxmlformats.org/drawingml/2006/main"/>
        </xdr:cNvGraphicFramePr>
      </xdr:nvGraphicFramePr>
      <xdr:xfrm rot="0">
        <a:off x="0" y="16325848"/>
        <a:ext cx="10029824" cy="54101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5" zoomScale="100" workbookViewId="0">
      <selection activeCell="A1" activeCellId="0" sqref="A1"/>
    </sheetView>
  </sheetViews>
  <sheetFormatPr defaultRowHeight="14.25"/>
  <cols>
    <col bestFit="1" min="1" max="1" width="9.4609375"/>
    <col customWidth="1" min="2" max="2" width="16.00390625"/>
    <col bestFit="1" customWidth="1" min="3" max="3" width="12.8515625"/>
    <col bestFit="1" min="4" max="4" width="15.140625"/>
    <col bestFit="1" min="5" max="5" width="14.57421875"/>
    <col bestFit="1" min="6" max="6" width="13.57421875"/>
    <col bestFit="1" min="7" max="7" width="12.7109375"/>
    <col bestFit="1" customWidth="1" min="8" max="8" width="10.7109375"/>
    <col bestFit="1" min="11" max="11" width="14.1015625"/>
    <col bestFit="1" min="12" max="12" width="13.03125"/>
    <col bestFit="1" min="13" max="13" width="14.1015625"/>
    <col bestFit="1" min="14" max="14" width="12.57421875"/>
    <col bestFit="1" min="15" max="15" width="11.8515625"/>
    <col bestFit="1" min="16" max="16" width="10.8515625"/>
    <col bestFit="1" min="17" max="17" width="11.8515625"/>
    <col bestFit="1" min="18" max="18" width="10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14.25">
      <c r="A2">
        <v>6312</v>
      </c>
      <c r="B2">
        <v>256.67000000000002</v>
      </c>
      <c r="C2">
        <v>2.5699999999999998</v>
      </c>
      <c r="D2">
        <v>159</v>
      </c>
      <c r="E2">
        <v>24.600000000000001</v>
      </c>
      <c r="F2">
        <v>0.10000000000000001</v>
      </c>
      <c r="G2">
        <f t="shared" ref="G2:G9" si="0">ROUND((D2/159)*100,1)</f>
        <v>100</v>
      </c>
      <c r="H2">
        <v>37.5</v>
      </c>
      <c r="I2">
        <f t="shared" ref="I2:I9" si="1">ROUND((D2/159)*44,1)</f>
        <v>44</v>
      </c>
      <c r="J2">
        <f t="shared" ref="J2:J9" si="2">37.5-E2</f>
        <v>12.899999999999999</v>
      </c>
      <c r="K2">
        <f t="shared" ref="K2:K9" si="3">J2*0.18</f>
        <v>2.3219999999999996</v>
      </c>
      <c r="L2">
        <f t="shared" ref="L2:L9" si="4">J2*0.16</f>
        <v>2.0639999999999996</v>
      </c>
      <c r="M2">
        <f t="shared" ref="M2:M9" si="5">J2*0.14</f>
        <v>1.806</v>
      </c>
      <c r="N2">
        <f t="shared" ref="N2:N9" si="6">J2*0.12</f>
        <v>1.5479999999999998</v>
      </c>
      <c r="O2">
        <v>0</v>
      </c>
      <c r="P2">
        <v>0</v>
      </c>
      <c r="Q2">
        <v>0</v>
      </c>
      <c r="R2">
        <v>0</v>
      </c>
    </row>
    <row r="3" ht="14.25">
      <c r="A3">
        <v>12615</v>
      </c>
      <c r="B3">
        <v>259.32999999999998</v>
      </c>
      <c r="C3">
        <v>5.1600000000000001</v>
      </c>
      <c r="D3">
        <v>159</v>
      </c>
      <c r="E3">
        <v>24.5</v>
      </c>
      <c r="F3">
        <v>0.20000000000000001</v>
      </c>
      <c r="G3">
        <f t="shared" si="0"/>
        <v>100</v>
      </c>
      <c r="H3">
        <v>37.5</v>
      </c>
      <c r="I3">
        <f t="shared" si="1"/>
        <v>44</v>
      </c>
      <c r="J3">
        <f t="shared" si="2"/>
        <v>13</v>
      </c>
      <c r="K3">
        <f t="shared" si="3"/>
        <v>2.3399999999999999</v>
      </c>
      <c r="L3">
        <f t="shared" si="4"/>
        <v>2.0800000000000001</v>
      </c>
      <c r="M3">
        <f t="shared" si="5"/>
        <v>1.8200000000000003</v>
      </c>
      <c r="N3">
        <f t="shared" si="6"/>
        <v>1.5600000000000001</v>
      </c>
      <c r="O3">
        <f t="shared" ref="O3:O10" si="7">O2+K2</f>
        <v>2.3219999999999996</v>
      </c>
      <c r="P3">
        <f t="shared" ref="P3:P10" si="8">P2+L2</f>
        <v>2.0639999999999996</v>
      </c>
      <c r="Q3">
        <f t="shared" ref="Q3:Q10" si="9">Q2+M2</f>
        <v>1.806</v>
      </c>
      <c r="R3">
        <f t="shared" ref="R3:R10" si="10">R2+N2</f>
        <v>1.5479999999999998</v>
      </c>
    </row>
    <row r="4" ht="14.25">
      <c r="A4">
        <v>18918</v>
      </c>
      <c r="B4">
        <v>256.67000000000002</v>
      </c>
      <c r="C4">
        <v>7.7300000000000004</v>
      </c>
      <c r="D4">
        <v>159</v>
      </c>
      <c r="E4">
        <v>24.800000000000001</v>
      </c>
      <c r="F4">
        <v>0.29999999999999999</v>
      </c>
      <c r="G4">
        <f t="shared" si="0"/>
        <v>100</v>
      </c>
      <c r="H4">
        <v>37.5</v>
      </c>
      <c r="I4">
        <f t="shared" si="1"/>
        <v>44</v>
      </c>
      <c r="J4">
        <f t="shared" si="2"/>
        <v>12.699999999999999</v>
      </c>
      <c r="K4">
        <f t="shared" si="3"/>
        <v>2.2859999999999996</v>
      </c>
      <c r="L4">
        <f t="shared" si="4"/>
        <v>2.032</v>
      </c>
      <c r="M4">
        <f t="shared" si="5"/>
        <v>1.778</v>
      </c>
      <c r="N4">
        <f t="shared" si="6"/>
        <v>1.5239999999999998</v>
      </c>
      <c r="O4" s="4">
        <f t="shared" si="7"/>
        <v>4.661999999999999</v>
      </c>
      <c r="P4">
        <f t="shared" si="8"/>
        <v>4.1440000000000001</v>
      </c>
      <c r="Q4">
        <f t="shared" si="9"/>
        <v>3.6260000000000003</v>
      </c>
      <c r="R4">
        <f t="shared" si="10"/>
        <v>3.1079999999999997</v>
      </c>
    </row>
    <row r="5" ht="14.25">
      <c r="A5">
        <v>25222</v>
      </c>
      <c r="B5">
        <v>259.32999999999998</v>
      </c>
      <c r="C5">
        <v>10.32</v>
      </c>
      <c r="D5">
        <v>159</v>
      </c>
      <c r="E5">
        <v>24.399999999999999</v>
      </c>
      <c r="F5">
        <v>0.40000000000000002</v>
      </c>
      <c r="G5">
        <f t="shared" si="0"/>
        <v>100</v>
      </c>
      <c r="H5">
        <v>37.5</v>
      </c>
      <c r="I5">
        <f t="shared" si="1"/>
        <v>44</v>
      </c>
      <c r="J5">
        <f t="shared" si="2"/>
        <v>13.100000000000001</v>
      </c>
      <c r="K5">
        <f t="shared" si="3"/>
        <v>2.3580000000000001</v>
      </c>
      <c r="L5">
        <f t="shared" si="4"/>
        <v>2.0960000000000001</v>
      </c>
      <c r="M5">
        <f t="shared" si="5"/>
        <v>1.8340000000000003</v>
      </c>
      <c r="N5">
        <f t="shared" si="6"/>
        <v>1.5720000000000001</v>
      </c>
      <c r="O5" s="4">
        <f t="shared" si="7"/>
        <v>6.9479999999999986</v>
      </c>
      <c r="P5">
        <f t="shared" si="8"/>
        <v>6.1760000000000002</v>
      </c>
      <c r="Q5">
        <f t="shared" si="9"/>
        <v>5.4039999999999999</v>
      </c>
      <c r="R5">
        <f t="shared" si="10"/>
        <v>4.6319999999999997</v>
      </c>
    </row>
    <row r="6" ht="14.25">
      <c r="A6">
        <v>31524</v>
      </c>
      <c r="B6">
        <v>256.67000000000002</v>
      </c>
      <c r="C6">
        <v>12.890000000000001</v>
      </c>
      <c r="D6">
        <v>159</v>
      </c>
      <c r="E6">
        <v>24.800000000000001</v>
      </c>
      <c r="F6">
        <f t="shared" ref="F6:F9" si="11">ROUND(A6/60000,1)</f>
        <v>0.5</v>
      </c>
      <c r="G6">
        <f t="shared" si="0"/>
        <v>100</v>
      </c>
      <c r="H6">
        <v>37.5</v>
      </c>
      <c r="I6">
        <f t="shared" si="1"/>
        <v>44</v>
      </c>
      <c r="J6">
        <f t="shared" si="2"/>
        <v>12.699999999999999</v>
      </c>
      <c r="K6">
        <f t="shared" si="3"/>
        <v>2.2859999999999996</v>
      </c>
      <c r="L6">
        <f t="shared" si="4"/>
        <v>2.032</v>
      </c>
      <c r="M6">
        <f t="shared" si="5"/>
        <v>1.778</v>
      </c>
      <c r="N6">
        <f t="shared" si="6"/>
        <v>1.5239999999999998</v>
      </c>
      <c r="O6" s="4">
        <f t="shared" si="7"/>
        <v>9.3059999999999992</v>
      </c>
      <c r="P6">
        <f t="shared" si="8"/>
        <v>8.2720000000000002</v>
      </c>
      <c r="Q6">
        <f t="shared" si="9"/>
        <v>7.2380000000000004</v>
      </c>
      <c r="R6">
        <f t="shared" si="10"/>
        <v>6.2039999999999997</v>
      </c>
    </row>
    <row r="7" ht="14.25">
      <c r="A7">
        <v>37827</v>
      </c>
      <c r="B7">
        <v>255.33000000000001</v>
      </c>
      <c r="C7">
        <v>15.44</v>
      </c>
      <c r="D7">
        <v>159</v>
      </c>
      <c r="E7">
        <v>24.5</v>
      </c>
      <c r="F7">
        <f t="shared" si="11"/>
        <v>0.59999999999999998</v>
      </c>
      <c r="G7">
        <f t="shared" si="0"/>
        <v>100</v>
      </c>
      <c r="H7">
        <v>37.5</v>
      </c>
      <c r="I7">
        <f t="shared" si="1"/>
        <v>44</v>
      </c>
      <c r="J7">
        <f t="shared" si="2"/>
        <v>13</v>
      </c>
      <c r="K7">
        <f t="shared" si="3"/>
        <v>2.3399999999999999</v>
      </c>
      <c r="L7">
        <f t="shared" si="4"/>
        <v>2.0800000000000001</v>
      </c>
      <c r="M7">
        <f t="shared" si="5"/>
        <v>1.8200000000000003</v>
      </c>
      <c r="N7">
        <f t="shared" si="6"/>
        <v>1.5600000000000001</v>
      </c>
      <c r="O7" s="4">
        <f t="shared" si="7"/>
        <v>11.591999999999999</v>
      </c>
      <c r="P7">
        <f t="shared" si="8"/>
        <v>10.304</v>
      </c>
      <c r="Q7">
        <f t="shared" si="9"/>
        <v>9.016</v>
      </c>
      <c r="R7">
        <f t="shared" si="10"/>
        <v>7.7279999999999998</v>
      </c>
    </row>
    <row r="8" ht="14.25">
      <c r="A8">
        <v>44130</v>
      </c>
      <c r="B8">
        <v>253.33000000000001</v>
      </c>
      <c r="C8">
        <v>17.969999999999999</v>
      </c>
      <c r="D8">
        <v>159</v>
      </c>
      <c r="E8">
        <v>25</v>
      </c>
      <c r="F8">
        <f t="shared" si="11"/>
        <v>0.69999999999999996</v>
      </c>
      <c r="G8">
        <f t="shared" si="0"/>
        <v>100</v>
      </c>
      <c r="H8">
        <v>37.5</v>
      </c>
      <c r="I8">
        <f t="shared" si="1"/>
        <v>44</v>
      </c>
      <c r="J8">
        <f t="shared" si="2"/>
        <v>12.5</v>
      </c>
      <c r="K8">
        <f t="shared" si="3"/>
        <v>2.25</v>
      </c>
      <c r="L8">
        <f t="shared" si="4"/>
        <v>2</v>
      </c>
      <c r="M8">
        <f t="shared" si="5"/>
        <v>1.7500000000000002</v>
      </c>
      <c r="N8">
        <f t="shared" si="6"/>
        <v>1.5</v>
      </c>
      <c r="O8" s="4">
        <f t="shared" si="7"/>
        <v>13.931999999999999</v>
      </c>
      <c r="P8">
        <f t="shared" si="8"/>
        <v>12.384</v>
      </c>
      <c r="Q8">
        <f t="shared" si="9"/>
        <v>10.836</v>
      </c>
      <c r="R8">
        <f t="shared" si="10"/>
        <v>9.2880000000000003</v>
      </c>
    </row>
    <row r="9" ht="14.25">
      <c r="A9">
        <v>50434</v>
      </c>
      <c r="B9">
        <v>255.33000000000001</v>
      </c>
      <c r="C9">
        <v>20.530000000000001</v>
      </c>
      <c r="D9">
        <v>159</v>
      </c>
      <c r="E9">
        <v>24.600000000000001</v>
      </c>
      <c r="F9">
        <f t="shared" si="11"/>
        <v>0.80000000000000004</v>
      </c>
      <c r="G9">
        <f t="shared" si="0"/>
        <v>100</v>
      </c>
      <c r="H9">
        <v>37.5</v>
      </c>
      <c r="I9">
        <f t="shared" si="1"/>
        <v>44</v>
      </c>
      <c r="J9">
        <f t="shared" si="2"/>
        <v>12.899999999999999</v>
      </c>
      <c r="K9">
        <f t="shared" si="3"/>
        <v>2.3219999999999996</v>
      </c>
      <c r="L9">
        <f t="shared" si="4"/>
        <v>2.0639999999999996</v>
      </c>
      <c r="M9">
        <f t="shared" si="5"/>
        <v>1.806</v>
      </c>
      <c r="N9">
        <f t="shared" si="6"/>
        <v>1.5479999999999998</v>
      </c>
      <c r="O9" s="4">
        <f t="shared" si="7"/>
        <v>16.181999999999999</v>
      </c>
      <c r="P9">
        <f t="shared" si="8"/>
        <v>14.384</v>
      </c>
      <c r="Q9">
        <f t="shared" si="9"/>
        <v>12.586</v>
      </c>
      <c r="R9">
        <f t="shared" si="10"/>
        <v>10.788</v>
      </c>
    </row>
    <row r="10" ht="14.25">
      <c r="A10">
        <v>56736</v>
      </c>
      <c r="B10">
        <v>254</v>
      </c>
      <c r="C10">
        <v>23.07</v>
      </c>
      <c r="D10">
        <v>159</v>
      </c>
      <c r="E10">
        <v>24.699999999999999</v>
      </c>
      <c r="F10">
        <f t="shared" ref="F10:F73" si="12">ROUND(A10/60000,1)</f>
        <v>0.90000000000000002</v>
      </c>
      <c r="G10">
        <f t="shared" ref="G10:G73" si="13">ROUND((D10/159)*100,1)</f>
        <v>100</v>
      </c>
      <c r="H10">
        <v>37.5</v>
      </c>
      <c r="I10">
        <f t="shared" ref="I10:I73" si="14">ROUND((D10/159)*44,1)</f>
        <v>44</v>
      </c>
      <c r="J10">
        <f t="shared" ref="J10:J73" si="15">37.5-E10</f>
        <v>12.800000000000001</v>
      </c>
      <c r="K10">
        <f t="shared" ref="K10:K73" si="16">J10*0.18</f>
        <v>2.3039999999999998</v>
      </c>
      <c r="L10">
        <f t="shared" ref="L10:L73" si="17">J10*0.16</f>
        <v>2.048</v>
      </c>
      <c r="M10">
        <f t="shared" ref="M10:M73" si="18">J10*0.14</f>
        <v>1.7920000000000003</v>
      </c>
      <c r="N10">
        <f t="shared" ref="N10:N73" si="19">J10*0.12</f>
        <v>1.536</v>
      </c>
      <c r="O10" s="4">
        <f t="shared" si="7"/>
        <v>18.503999999999998</v>
      </c>
      <c r="P10">
        <f t="shared" si="8"/>
        <v>16.448</v>
      </c>
      <c r="Q10">
        <f t="shared" si="9"/>
        <v>14.391999999999999</v>
      </c>
      <c r="R10">
        <f t="shared" si="10"/>
        <v>12.336</v>
      </c>
    </row>
    <row r="11" ht="14.25">
      <c r="A11">
        <v>63039</v>
      </c>
      <c r="B11">
        <v>249.33000000000001</v>
      </c>
      <c r="C11">
        <v>25.559999999999999</v>
      </c>
      <c r="D11">
        <v>159</v>
      </c>
      <c r="E11">
        <v>25</v>
      </c>
      <c r="F11">
        <f t="shared" si="12"/>
        <v>1.1000000000000001</v>
      </c>
      <c r="G11">
        <f t="shared" si="13"/>
        <v>100</v>
      </c>
      <c r="H11">
        <v>37.5</v>
      </c>
      <c r="I11">
        <f t="shared" si="14"/>
        <v>44</v>
      </c>
      <c r="J11">
        <f t="shared" si="15"/>
        <v>12.5</v>
      </c>
      <c r="K11">
        <f t="shared" si="16"/>
        <v>2.25</v>
      </c>
      <c r="L11">
        <f t="shared" si="17"/>
        <v>2</v>
      </c>
      <c r="M11">
        <f t="shared" si="18"/>
        <v>1.7500000000000002</v>
      </c>
      <c r="N11">
        <f t="shared" si="19"/>
        <v>1.5</v>
      </c>
      <c r="O11" s="4">
        <f t="shared" ref="O11:O74" si="20">O10+K10</f>
        <v>20.807999999999996</v>
      </c>
      <c r="P11">
        <f t="shared" ref="P11:P74" si="21">P10+L10</f>
        <v>18.496000000000002</v>
      </c>
      <c r="Q11">
        <f t="shared" ref="Q11:Q74" si="22">Q10+M10</f>
        <v>16.184000000000001</v>
      </c>
      <c r="R11">
        <f t="shared" ref="R11:R74" si="23">R10+N10</f>
        <v>13.872</v>
      </c>
    </row>
    <row r="12" ht="14.25">
      <c r="A12">
        <v>69343</v>
      </c>
      <c r="B12">
        <v>250</v>
      </c>
      <c r="C12">
        <v>28.059999999999999</v>
      </c>
      <c r="D12">
        <v>159</v>
      </c>
      <c r="E12">
        <v>25</v>
      </c>
      <c r="F12">
        <f t="shared" si="12"/>
        <v>1.2</v>
      </c>
      <c r="G12">
        <f t="shared" si="13"/>
        <v>100</v>
      </c>
      <c r="H12">
        <v>37.5</v>
      </c>
      <c r="I12">
        <f t="shared" si="14"/>
        <v>44</v>
      </c>
      <c r="J12">
        <f t="shared" si="15"/>
        <v>12.5</v>
      </c>
      <c r="K12">
        <f t="shared" si="16"/>
        <v>2.25</v>
      </c>
      <c r="L12">
        <f t="shared" si="17"/>
        <v>2</v>
      </c>
      <c r="M12">
        <f t="shared" si="18"/>
        <v>1.7500000000000002</v>
      </c>
      <c r="N12">
        <f t="shared" si="19"/>
        <v>1.5</v>
      </c>
      <c r="O12" s="4">
        <f t="shared" si="20"/>
        <v>23.057999999999996</v>
      </c>
      <c r="P12">
        <f t="shared" si="21"/>
        <v>20.496000000000002</v>
      </c>
      <c r="Q12">
        <f t="shared" si="22"/>
        <v>17.934000000000001</v>
      </c>
      <c r="R12">
        <f t="shared" si="23"/>
        <v>15.372</v>
      </c>
    </row>
    <row r="13" ht="14.25">
      <c r="A13">
        <v>75646</v>
      </c>
      <c r="B13">
        <v>246.66999999999999</v>
      </c>
      <c r="C13">
        <v>30.530000000000001</v>
      </c>
      <c r="D13">
        <v>159</v>
      </c>
      <c r="E13">
        <v>25.199999999999999</v>
      </c>
      <c r="F13">
        <f t="shared" si="12"/>
        <v>1.3</v>
      </c>
      <c r="G13">
        <f t="shared" si="13"/>
        <v>100</v>
      </c>
      <c r="H13">
        <v>37.5</v>
      </c>
      <c r="I13">
        <f t="shared" si="14"/>
        <v>44</v>
      </c>
      <c r="J13">
        <f t="shared" si="15"/>
        <v>12.300000000000001</v>
      </c>
      <c r="K13">
        <f t="shared" si="16"/>
        <v>2.214</v>
      </c>
      <c r="L13">
        <f t="shared" si="17"/>
        <v>1.9680000000000002</v>
      </c>
      <c r="M13">
        <f t="shared" si="18"/>
        <v>1.7220000000000002</v>
      </c>
      <c r="N13">
        <f t="shared" si="19"/>
        <v>1.476</v>
      </c>
      <c r="O13" s="4">
        <f t="shared" si="20"/>
        <v>25.307999999999996</v>
      </c>
      <c r="P13">
        <f t="shared" si="21"/>
        <v>22.496000000000002</v>
      </c>
      <c r="Q13">
        <f t="shared" si="22"/>
        <v>19.684000000000001</v>
      </c>
      <c r="R13">
        <f t="shared" si="23"/>
        <v>16.872</v>
      </c>
    </row>
    <row r="14" ht="14.25">
      <c r="A14">
        <v>81950</v>
      </c>
      <c r="B14">
        <v>246.66999999999999</v>
      </c>
      <c r="C14">
        <v>32.990000000000002</v>
      </c>
      <c r="D14">
        <v>159</v>
      </c>
      <c r="E14">
        <v>25.199999999999999</v>
      </c>
      <c r="F14">
        <f t="shared" si="12"/>
        <v>1.3999999999999999</v>
      </c>
      <c r="G14">
        <f t="shared" si="13"/>
        <v>100</v>
      </c>
      <c r="H14">
        <v>37.5</v>
      </c>
      <c r="I14">
        <f t="shared" si="14"/>
        <v>44</v>
      </c>
      <c r="J14">
        <f t="shared" si="15"/>
        <v>12.300000000000001</v>
      </c>
      <c r="K14">
        <f t="shared" si="16"/>
        <v>2.214</v>
      </c>
      <c r="L14">
        <f t="shared" si="17"/>
        <v>1.9680000000000002</v>
      </c>
      <c r="M14">
        <f t="shared" si="18"/>
        <v>1.7220000000000002</v>
      </c>
      <c r="N14">
        <f t="shared" si="19"/>
        <v>1.476</v>
      </c>
      <c r="O14" s="4">
        <f t="shared" si="20"/>
        <v>27.521999999999995</v>
      </c>
      <c r="P14">
        <f t="shared" si="21"/>
        <v>24.464000000000002</v>
      </c>
      <c r="Q14">
        <f t="shared" si="22"/>
        <v>21.406000000000002</v>
      </c>
      <c r="R14">
        <f t="shared" si="23"/>
        <v>18.347999999999999</v>
      </c>
    </row>
    <row r="15" ht="14.25">
      <c r="A15">
        <v>88254</v>
      </c>
      <c r="B15">
        <v>246</v>
      </c>
      <c r="C15">
        <v>35.450000000000003</v>
      </c>
      <c r="D15">
        <v>159</v>
      </c>
      <c r="E15">
        <v>25.100000000000001</v>
      </c>
      <c r="F15">
        <f t="shared" si="12"/>
        <v>1.5</v>
      </c>
      <c r="G15">
        <f t="shared" si="13"/>
        <v>100</v>
      </c>
      <c r="H15">
        <v>37.5</v>
      </c>
      <c r="I15">
        <f t="shared" si="14"/>
        <v>44</v>
      </c>
      <c r="J15">
        <f t="shared" si="15"/>
        <v>12.399999999999999</v>
      </c>
      <c r="K15">
        <f t="shared" si="16"/>
        <v>2.2319999999999998</v>
      </c>
      <c r="L15">
        <f t="shared" si="17"/>
        <v>1.9839999999999998</v>
      </c>
      <c r="M15">
        <f t="shared" si="18"/>
        <v>1.736</v>
      </c>
      <c r="N15">
        <f t="shared" si="19"/>
        <v>1.4879999999999998</v>
      </c>
      <c r="O15" s="4">
        <f t="shared" si="20"/>
        <v>29.735999999999994</v>
      </c>
      <c r="P15">
        <f t="shared" si="21"/>
        <v>26.432000000000002</v>
      </c>
      <c r="Q15">
        <f t="shared" si="22"/>
        <v>23.128000000000004</v>
      </c>
      <c r="R15">
        <f t="shared" si="23"/>
        <v>19.823999999999998</v>
      </c>
    </row>
    <row r="16" ht="14.25">
      <c r="A16">
        <v>94558</v>
      </c>
      <c r="B16">
        <v>240</v>
      </c>
      <c r="C16">
        <v>37.850000000000001</v>
      </c>
      <c r="D16">
        <v>159</v>
      </c>
      <c r="E16">
        <v>25.5</v>
      </c>
      <c r="F16">
        <f t="shared" si="12"/>
        <v>1.6000000000000001</v>
      </c>
      <c r="G16">
        <f t="shared" si="13"/>
        <v>100</v>
      </c>
      <c r="H16">
        <v>37.5</v>
      </c>
      <c r="I16">
        <f t="shared" si="14"/>
        <v>44</v>
      </c>
      <c r="J16">
        <f t="shared" si="15"/>
        <v>12</v>
      </c>
      <c r="K16">
        <f t="shared" si="16"/>
        <v>2.1600000000000001</v>
      </c>
      <c r="L16">
        <f t="shared" si="17"/>
        <v>1.9199999999999999</v>
      </c>
      <c r="M16">
        <f t="shared" si="18"/>
        <v>1.6800000000000002</v>
      </c>
      <c r="N16">
        <f t="shared" si="19"/>
        <v>1.4399999999999999</v>
      </c>
      <c r="O16" s="4">
        <f t="shared" si="20"/>
        <v>31.967999999999993</v>
      </c>
      <c r="P16">
        <f t="shared" si="21"/>
        <v>28.416</v>
      </c>
      <c r="Q16">
        <f t="shared" si="22"/>
        <v>24.864000000000004</v>
      </c>
      <c r="R16">
        <f t="shared" si="23"/>
        <v>21.311999999999998</v>
      </c>
    </row>
    <row r="17" ht="14.25">
      <c r="A17">
        <v>100860</v>
      </c>
      <c r="B17">
        <v>236.66999999999999</v>
      </c>
      <c r="C17">
        <v>40.219999999999999</v>
      </c>
      <c r="D17">
        <v>159</v>
      </c>
      <c r="E17">
        <v>25.899999999999999</v>
      </c>
      <c r="F17">
        <f t="shared" si="12"/>
        <v>1.7</v>
      </c>
      <c r="G17">
        <f t="shared" si="13"/>
        <v>100</v>
      </c>
      <c r="H17">
        <v>37.5</v>
      </c>
      <c r="I17">
        <f t="shared" si="14"/>
        <v>44</v>
      </c>
      <c r="J17">
        <f t="shared" si="15"/>
        <v>11.600000000000001</v>
      </c>
      <c r="K17">
        <f t="shared" si="16"/>
        <v>2.0880000000000001</v>
      </c>
      <c r="L17">
        <f t="shared" si="17"/>
        <v>1.8560000000000003</v>
      </c>
      <c r="M17">
        <f t="shared" si="18"/>
        <v>1.6240000000000003</v>
      </c>
      <c r="N17">
        <f t="shared" si="19"/>
        <v>1.3920000000000001</v>
      </c>
      <c r="O17" s="4">
        <f t="shared" si="20"/>
        <v>34.127999999999993</v>
      </c>
      <c r="P17">
        <f t="shared" si="21"/>
        <v>30.335999999999999</v>
      </c>
      <c r="Q17">
        <f t="shared" si="22"/>
        <v>26.544000000000004</v>
      </c>
      <c r="R17">
        <f t="shared" si="23"/>
        <v>22.751999999999999</v>
      </c>
    </row>
    <row r="18" ht="14.25">
      <c r="A18">
        <v>107163</v>
      </c>
      <c r="B18">
        <v>236</v>
      </c>
      <c r="C18">
        <v>42.579999999999998</v>
      </c>
      <c r="D18">
        <v>159</v>
      </c>
      <c r="E18">
        <v>25.800000000000001</v>
      </c>
      <c r="F18">
        <f t="shared" si="12"/>
        <v>1.8</v>
      </c>
      <c r="G18">
        <f t="shared" si="13"/>
        <v>100</v>
      </c>
      <c r="H18">
        <v>37.5</v>
      </c>
      <c r="I18">
        <f t="shared" si="14"/>
        <v>44</v>
      </c>
      <c r="J18">
        <f t="shared" si="15"/>
        <v>11.699999999999999</v>
      </c>
      <c r="K18">
        <f t="shared" si="16"/>
        <v>2.1059999999999999</v>
      </c>
      <c r="L18">
        <f t="shared" si="17"/>
        <v>1.8719999999999999</v>
      </c>
      <c r="M18">
        <f t="shared" si="18"/>
        <v>1.6380000000000001</v>
      </c>
      <c r="N18">
        <f t="shared" si="19"/>
        <v>1.4039999999999999</v>
      </c>
      <c r="O18" s="4">
        <f t="shared" si="20"/>
        <v>36.215999999999994</v>
      </c>
      <c r="P18">
        <f t="shared" si="21"/>
        <v>32.192</v>
      </c>
      <c r="Q18">
        <f t="shared" si="22"/>
        <v>28.168000000000003</v>
      </c>
      <c r="R18">
        <f t="shared" si="23"/>
        <v>24.143999999999998</v>
      </c>
    </row>
    <row r="19" ht="14.25">
      <c r="A19">
        <v>113466</v>
      </c>
      <c r="B19">
        <v>232</v>
      </c>
      <c r="C19">
        <v>44.899999999999999</v>
      </c>
      <c r="D19">
        <v>159</v>
      </c>
      <c r="E19">
        <v>26</v>
      </c>
      <c r="F19">
        <f t="shared" si="12"/>
        <v>1.8999999999999999</v>
      </c>
      <c r="G19">
        <f t="shared" si="13"/>
        <v>100</v>
      </c>
      <c r="H19">
        <v>37.5</v>
      </c>
      <c r="I19">
        <f t="shared" si="14"/>
        <v>44</v>
      </c>
      <c r="J19">
        <f t="shared" si="15"/>
        <v>11.5</v>
      </c>
      <c r="K19">
        <f t="shared" si="16"/>
        <v>2.0699999999999998</v>
      </c>
      <c r="L19">
        <f t="shared" si="17"/>
        <v>1.8400000000000001</v>
      </c>
      <c r="M19">
        <f t="shared" si="18"/>
        <v>1.6100000000000001</v>
      </c>
      <c r="N19">
        <f t="shared" si="19"/>
        <v>1.3799999999999999</v>
      </c>
      <c r="O19" s="4">
        <f t="shared" si="20"/>
        <v>38.321999999999996</v>
      </c>
      <c r="P19">
        <f t="shared" si="21"/>
        <v>34.064</v>
      </c>
      <c r="Q19">
        <f t="shared" si="22"/>
        <v>29.806000000000004</v>
      </c>
      <c r="R19">
        <f t="shared" si="23"/>
        <v>25.547999999999998</v>
      </c>
    </row>
    <row r="20" ht="14.25">
      <c r="A20">
        <v>119770</v>
      </c>
      <c r="B20">
        <v>226.66999999999999</v>
      </c>
      <c r="C20">
        <v>47.170000000000002</v>
      </c>
      <c r="D20">
        <v>159</v>
      </c>
      <c r="E20">
        <v>26.300000000000001</v>
      </c>
      <c r="F20">
        <f t="shared" si="12"/>
        <v>2</v>
      </c>
      <c r="G20">
        <f t="shared" si="13"/>
        <v>100</v>
      </c>
      <c r="H20">
        <v>37.5</v>
      </c>
      <c r="I20">
        <f t="shared" si="14"/>
        <v>44</v>
      </c>
      <c r="J20">
        <f t="shared" si="15"/>
        <v>11.199999999999999</v>
      </c>
      <c r="K20">
        <f t="shared" si="16"/>
        <v>2.016</v>
      </c>
      <c r="L20">
        <f t="shared" si="17"/>
        <v>1.7919999999999998</v>
      </c>
      <c r="M20">
        <f t="shared" si="18"/>
        <v>1.5680000000000001</v>
      </c>
      <c r="N20">
        <f t="shared" si="19"/>
        <v>1.3439999999999999</v>
      </c>
      <c r="O20" s="4">
        <f t="shared" si="20"/>
        <v>40.391999999999996</v>
      </c>
      <c r="P20">
        <f t="shared" si="21"/>
        <v>35.904000000000003</v>
      </c>
      <c r="Q20">
        <f t="shared" si="22"/>
        <v>31.416000000000004</v>
      </c>
      <c r="R20">
        <f t="shared" si="23"/>
        <v>26.927999999999997</v>
      </c>
    </row>
    <row r="21" ht="14.25">
      <c r="A21">
        <v>126072</v>
      </c>
      <c r="B21">
        <v>225.33000000000001</v>
      </c>
      <c r="C21">
        <v>49.420000000000002</v>
      </c>
      <c r="D21">
        <v>159</v>
      </c>
      <c r="E21">
        <v>26.300000000000001</v>
      </c>
      <c r="F21">
        <f t="shared" si="12"/>
        <v>2.1000000000000001</v>
      </c>
      <c r="G21">
        <f t="shared" si="13"/>
        <v>100</v>
      </c>
      <c r="H21">
        <v>37.5</v>
      </c>
      <c r="I21">
        <f t="shared" si="14"/>
        <v>44</v>
      </c>
      <c r="J21">
        <f t="shared" si="15"/>
        <v>11.199999999999999</v>
      </c>
      <c r="K21">
        <f t="shared" si="16"/>
        <v>2.016</v>
      </c>
      <c r="L21">
        <f t="shared" si="17"/>
        <v>1.7919999999999998</v>
      </c>
      <c r="M21">
        <f t="shared" si="18"/>
        <v>1.5680000000000001</v>
      </c>
      <c r="N21">
        <f t="shared" si="19"/>
        <v>1.3439999999999999</v>
      </c>
      <c r="O21" s="4">
        <f t="shared" si="20"/>
        <v>42.407999999999994</v>
      </c>
      <c r="P21">
        <f t="shared" si="21"/>
        <v>37.696000000000005</v>
      </c>
      <c r="Q21">
        <f t="shared" si="22"/>
        <v>32.984000000000002</v>
      </c>
      <c r="R21">
        <f t="shared" si="23"/>
        <v>28.271999999999998</v>
      </c>
    </row>
    <row r="22" ht="14.25">
      <c r="A22">
        <v>132375</v>
      </c>
      <c r="B22">
        <v>220</v>
      </c>
      <c r="C22">
        <v>51.619999999999997</v>
      </c>
      <c r="D22">
        <v>159</v>
      </c>
      <c r="E22">
        <v>26.5</v>
      </c>
      <c r="F22">
        <f t="shared" si="12"/>
        <v>2.2000000000000002</v>
      </c>
      <c r="G22">
        <f t="shared" si="13"/>
        <v>100</v>
      </c>
      <c r="H22">
        <v>37.5</v>
      </c>
      <c r="I22">
        <f t="shared" si="14"/>
        <v>44</v>
      </c>
      <c r="J22">
        <f t="shared" si="15"/>
        <v>11</v>
      </c>
      <c r="K22">
        <f t="shared" si="16"/>
        <v>1.98</v>
      </c>
      <c r="L22">
        <f t="shared" si="17"/>
        <v>1.76</v>
      </c>
      <c r="M22">
        <f t="shared" si="18"/>
        <v>1.54</v>
      </c>
      <c r="N22">
        <f t="shared" si="19"/>
        <v>1.3199999999999998</v>
      </c>
      <c r="O22" s="4">
        <f t="shared" si="20"/>
        <v>44.423999999999992</v>
      </c>
      <c r="P22">
        <f t="shared" si="21"/>
        <v>39.488000000000007</v>
      </c>
      <c r="Q22">
        <f t="shared" si="22"/>
        <v>34.552</v>
      </c>
      <c r="R22">
        <f t="shared" si="23"/>
        <v>29.616</v>
      </c>
    </row>
    <row r="23" ht="14.25">
      <c r="A23">
        <v>138678</v>
      </c>
      <c r="B23">
        <v>218.66999999999999</v>
      </c>
      <c r="C23">
        <v>53.810000000000002</v>
      </c>
      <c r="D23">
        <v>159</v>
      </c>
      <c r="E23">
        <v>26.600000000000001</v>
      </c>
      <c r="F23">
        <f t="shared" si="12"/>
        <v>2.2999999999999998</v>
      </c>
      <c r="G23">
        <f t="shared" si="13"/>
        <v>100</v>
      </c>
      <c r="H23">
        <v>37.5</v>
      </c>
      <c r="I23">
        <f t="shared" si="14"/>
        <v>44</v>
      </c>
      <c r="J23">
        <f t="shared" si="15"/>
        <v>10.899999999999999</v>
      </c>
      <c r="K23">
        <f t="shared" si="16"/>
        <v>1.9619999999999997</v>
      </c>
      <c r="L23">
        <f t="shared" si="17"/>
        <v>1.7439999999999998</v>
      </c>
      <c r="M23">
        <f t="shared" si="18"/>
        <v>1.526</v>
      </c>
      <c r="N23">
        <f t="shared" si="19"/>
        <v>1.3079999999999998</v>
      </c>
      <c r="O23" s="4">
        <f t="shared" si="20"/>
        <v>46.403999999999989</v>
      </c>
      <c r="P23">
        <f t="shared" si="21"/>
        <v>41.248000000000005</v>
      </c>
      <c r="Q23">
        <f t="shared" si="22"/>
        <v>36.091999999999999</v>
      </c>
      <c r="R23">
        <f t="shared" si="23"/>
        <v>30.936</v>
      </c>
    </row>
    <row r="24" ht="14.25">
      <c r="A24">
        <v>144982</v>
      </c>
      <c r="B24">
        <v>212.66999999999999</v>
      </c>
      <c r="C24">
        <v>55.93</v>
      </c>
      <c r="D24">
        <v>159</v>
      </c>
      <c r="E24">
        <v>26.899999999999999</v>
      </c>
      <c r="F24">
        <f t="shared" si="12"/>
        <v>2.3999999999999999</v>
      </c>
      <c r="G24">
        <f t="shared" si="13"/>
        <v>100</v>
      </c>
      <c r="H24">
        <v>37.5</v>
      </c>
      <c r="I24">
        <f t="shared" si="14"/>
        <v>44</v>
      </c>
      <c r="J24">
        <f t="shared" si="15"/>
        <v>10.600000000000001</v>
      </c>
      <c r="K24">
        <f t="shared" si="16"/>
        <v>1.9080000000000001</v>
      </c>
      <c r="L24">
        <f t="shared" si="17"/>
        <v>1.6960000000000002</v>
      </c>
      <c r="M24">
        <f t="shared" si="18"/>
        <v>1.4840000000000004</v>
      </c>
      <c r="N24">
        <f t="shared" si="19"/>
        <v>1.272</v>
      </c>
      <c r="O24" s="4">
        <f t="shared" si="20"/>
        <v>48.365999999999985</v>
      </c>
      <c r="P24">
        <f t="shared" si="21"/>
        <v>42.992000000000004</v>
      </c>
      <c r="Q24">
        <f t="shared" si="22"/>
        <v>37.618000000000002</v>
      </c>
      <c r="R24">
        <f t="shared" si="23"/>
        <v>32.244</v>
      </c>
    </row>
    <row r="25" ht="14.25">
      <c r="A25">
        <v>151284</v>
      </c>
      <c r="B25">
        <v>207.33000000000001</v>
      </c>
      <c r="C25">
        <v>58.009999999999998</v>
      </c>
      <c r="D25">
        <v>159</v>
      </c>
      <c r="E25">
        <v>27.100000000000001</v>
      </c>
      <c r="F25">
        <f t="shared" si="12"/>
        <v>2.5</v>
      </c>
      <c r="G25">
        <f t="shared" si="13"/>
        <v>100</v>
      </c>
      <c r="H25">
        <v>37.5</v>
      </c>
      <c r="I25">
        <f t="shared" si="14"/>
        <v>44</v>
      </c>
      <c r="J25">
        <f t="shared" si="15"/>
        <v>10.399999999999999</v>
      </c>
      <c r="K25">
        <f t="shared" si="16"/>
        <v>1.8719999999999997</v>
      </c>
      <c r="L25">
        <f t="shared" si="17"/>
        <v>1.6639999999999997</v>
      </c>
      <c r="M25">
        <f t="shared" si="18"/>
        <v>1.456</v>
      </c>
      <c r="N25">
        <f t="shared" si="19"/>
        <v>1.2479999999999998</v>
      </c>
      <c r="O25" s="4">
        <f t="shared" si="20"/>
        <v>50.273999999999987</v>
      </c>
      <c r="P25">
        <f t="shared" si="21"/>
        <v>44.688000000000002</v>
      </c>
      <c r="Q25">
        <f t="shared" si="22"/>
        <v>39.102000000000004</v>
      </c>
      <c r="R25">
        <f t="shared" si="23"/>
        <v>33.515999999999998</v>
      </c>
    </row>
    <row r="26" ht="14.25">
      <c r="A26">
        <v>157588</v>
      </c>
      <c r="B26">
        <v>206.66999999999999</v>
      </c>
      <c r="C26">
        <v>60.07</v>
      </c>
      <c r="D26">
        <v>159</v>
      </c>
      <c r="E26">
        <v>27.100000000000001</v>
      </c>
      <c r="F26">
        <f t="shared" si="12"/>
        <v>2.6000000000000001</v>
      </c>
      <c r="G26">
        <f t="shared" si="13"/>
        <v>100</v>
      </c>
      <c r="H26">
        <v>37.5</v>
      </c>
      <c r="I26">
        <f t="shared" si="14"/>
        <v>44</v>
      </c>
      <c r="J26">
        <f t="shared" si="15"/>
        <v>10.399999999999999</v>
      </c>
      <c r="K26">
        <f t="shared" si="16"/>
        <v>1.8719999999999997</v>
      </c>
      <c r="L26">
        <f t="shared" si="17"/>
        <v>1.6639999999999997</v>
      </c>
      <c r="M26">
        <f t="shared" si="18"/>
        <v>1.456</v>
      </c>
      <c r="N26">
        <f t="shared" si="19"/>
        <v>1.2479999999999998</v>
      </c>
      <c r="O26" s="4">
        <f t="shared" si="20"/>
        <v>52.145999999999987</v>
      </c>
      <c r="P26">
        <f t="shared" si="21"/>
        <v>46.352000000000004</v>
      </c>
      <c r="Q26">
        <f t="shared" si="22"/>
        <v>40.558000000000007</v>
      </c>
      <c r="R26">
        <f t="shared" si="23"/>
        <v>34.763999999999996</v>
      </c>
    </row>
    <row r="27" ht="14.25">
      <c r="A27">
        <v>163892</v>
      </c>
      <c r="B27">
        <v>200</v>
      </c>
      <c r="C27">
        <v>62.07</v>
      </c>
      <c r="D27">
        <v>159</v>
      </c>
      <c r="E27">
        <v>27.5</v>
      </c>
      <c r="F27">
        <f t="shared" si="12"/>
        <v>2.7000000000000002</v>
      </c>
      <c r="G27">
        <f t="shared" si="13"/>
        <v>100</v>
      </c>
      <c r="H27">
        <v>37.5</v>
      </c>
      <c r="I27">
        <f t="shared" si="14"/>
        <v>44</v>
      </c>
      <c r="J27">
        <f t="shared" si="15"/>
        <v>10</v>
      </c>
      <c r="K27">
        <f t="shared" si="16"/>
        <v>1.7999999999999998</v>
      </c>
      <c r="L27">
        <f t="shared" si="17"/>
        <v>1.6000000000000001</v>
      </c>
      <c r="M27">
        <f t="shared" si="18"/>
        <v>1.4000000000000001</v>
      </c>
      <c r="N27">
        <f t="shared" si="19"/>
        <v>1.2</v>
      </c>
      <c r="O27" s="4">
        <f t="shared" si="20"/>
        <v>54.017999999999986</v>
      </c>
      <c r="P27">
        <f t="shared" si="21"/>
        <v>48.016000000000005</v>
      </c>
      <c r="Q27">
        <f t="shared" si="22"/>
        <v>42.01400000000001</v>
      </c>
      <c r="R27">
        <f t="shared" si="23"/>
        <v>36.011999999999993</v>
      </c>
    </row>
    <row r="28" ht="14.25">
      <c r="A28">
        <v>170195</v>
      </c>
      <c r="B28">
        <v>196.66999999999999</v>
      </c>
      <c r="C28">
        <v>64.040000000000006</v>
      </c>
      <c r="D28">
        <v>159</v>
      </c>
      <c r="E28">
        <v>27.699999999999999</v>
      </c>
      <c r="F28">
        <f t="shared" si="12"/>
        <v>2.7999999999999998</v>
      </c>
      <c r="G28">
        <f t="shared" si="13"/>
        <v>100</v>
      </c>
      <c r="H28">
        <v>37.5</v>
      </c>
      <c r="I28">
        <f t="shared" si="14"/>
        <v>44</v>
      </c>
      <c r="J28">
        <f t="shared" si="15"/>
        <v>9.8000000000000007</v>
      </c>
      <c r="K28">
        <f t="shared" si="16"/>
        <v>1.764</v>
      </c>
      <c r="L28">
        <f t="shared" si="17"/>
        <v>1.5680000000000001</v>
      </c>
      <c r="M28">
        <f t="shared" si="18"/>
        <v>1.3720000000000003</v>
      </c>
      <c r="N28">
        <f t="shared" si="19"/>
        <v>1.1759999999999999</v>
      </c>
      <c r="O28" s="4">
        <f t="shared" si="20"/>
        <v>55.817999999999984</v>
      </c>
      <c r="P28">
        <f t="shared" si="21"/>
        <v>49.616000000000007</v>
      </c>
      <c r="Q28">
        <f t="shared" si="22"/>
        <v>43.414000000000009</v>
      </c>
      <c r="R28">
        <f t="shared" si="23"/>
        <v>37.211999999999996</v>
      </c>
    </row>
    <row r="29" ht="14.25">
      <c r="A29">
        <v>176499</v>
      </c>
      <c r="B29">
        <v>192.66999999999999</v>
      </c>
      <c r="C29">
        <v>65.969999999999999</v>
      </c>
      <c r="D29">
        <v>159</v>
      </c>
      <c r="E29">
        <v>27.899999999999999</v>
      </c>
      <c r="F29">
        <f t="shared" si="12"/>
        <v>2.8999999999999999</v>
      </c>
      <c r="G29">
        <f t="shared" si="13"/>
        <v>100</v>
      </c>
      <c r="H29">
        <v>37.5</v>
      </c>
      <c r="I29">
        <f t="shared" si="14"/>
        <v>44</v>
      </c>
      <c r="J29">
        <f t="shared" si="15"/>
        <v>9.6000000000000014</v>
      </c>
      <c r="K29">
        <f t="shared" si="16"/>
        <v>1.7280000000000002</v>
      </c>
      <c r="L29">
        <f t="shared" si="17"/>
        <v>1.5360000000000003</v>
      </c>
      <c r="M29">
        <f t="shared" si="18"/>
        <v>1.3440000000000003</v>
      </c>
      <c r="N29">
        <f t="shared" si="19"/>
        <v>1.1520000000000001</v>
      </c>
      <c r="O29" s="4">
        <f t="shared" si="20"/>
        <v>57.581999999999987</v>
      </c>
      <c r="P29">
        <f t="shared" si="21"/>
        <v>51.184000000000005</v>
      </c>
      <c r="Q29">
        <f t="shared" si="22"/>
        <v>44.786000000000008</v>
      </c>
      <c r="R29">
        <f t="shared" si="23"/>
        <v>38.387999999999998</v>
      </c>
    </row>
    <row r="30" ht="14.25">
      <c r="A30">
        <v>182801</v>
      </c>
      <c r="B30">
        <v>188</v>
      </c>
      <c r="C30">
        <v>67.849999999999994</v>
      </c>
      <c r="D30">
        <v>159</v>
      </c>
      <c r="E30">
        <v>28.300000000000001</v>
      </c>
      <c r="F30">
        <f t="shared" si="12"/>
        <v>3</v>
      </c>
      <c r="G30">
        <f t="shared" si="13"/>
        <v>100</v>
      </c>
      <c r="H30">
        <v>37.5</v>
      </c>
      <c r="I30">
        <f t="shared" si="14"/>
        <v>44</v>
      </c>
      <c r="J30">
        <f t="shared" si="15"/>
        <v>9.1999999999999993</v>
      </c>
      <c r="K30">
        <f t="shared" si="16"/>
        <v>1.6559999999999999</v>
      </c>
      <c r="L30">
        <f t="shared" si="17"/>
        <v>1.472</v>
      </c>
      <c r="M30">
        <f t="shared" si="18"/>
        <v>1.288</v>
      </c>
      <c r="N30">
        <f t="shared" si="19"/>
        <v>1.1039999999999999</v>
      </c>
      <c r="O30" s="4">
        <f t="shared" si="20"/>
        <v>59.309999999999988</v>
      </c>
      <c r="P30">
        <f t="shared" si="21"/>
        <v>52.720000000000006</v>
      </c>
      <c r="Q30">
        <f t="shared" si="22"/>
        <v>46.13000000000001</v>
      </c>
      <c r="R30">
        <f t="shared" si="23"/>
        <v>39.539999999999999</v>
      </c>
    </row>
    <row r="31" ht="14.25">
      <c r="A31">
        <v>189106</v>
      </c>
      <c r="B31">
        <v>182.66999999999999</v>
      </c>
      <c r="C31">
        <v>69.670000000000002</v>
      </c>
      <c r="D31">
        <v>159</v>
      </c>
      <c r="E31">
        <v>28.5</v>
      </c>
      <c r="F31">
        <f t="shared" si="12"/>
        <v>3.2000000000000002</v>
      </c>
      <c r="G31">
        <f t="shared" si="13"/>
        <v>100</v>
      </c>
      <c r="H31">
        <v>37.5</v>
      </c>
      <c r="I31">
        <f t="shared" si="14"/>
        <v>44</v>
      </c>
      <c r="J31">
        <f t="shared" si="15"/>
        <v>9</v>
      </c>
      <c r="K31">
        <f t="shared" si="16"/>
        <v>1.6199999999999999</v>
      </c>
      <c r="L31">
        <f t="shared" si="17"/>
        <v>1.4399999999999999</v>
      </c>
      <c r="M31">
        <f t="shared" si="18"/>
        <v>1.2600000000000002</v>
      </c>
      <c r="N31">
        <f t="shared" si="19"/>
        <v>1.0800000000000001</v>
      </c>
      <c r="O31" s="4">
        <f t="shared" si="20"/>
        <v>60.965999999999987</v>
      </c>
      <c r="P31">
        <f t="shared" si="21"/>
        <v>54.192000000000007</v>
      </c>
      <c r="Q31">
        <f t="shared" si="22"/>
        <v>47.418000000000006</v>
      </c>
      <c r="R31">
        <f t="shared" si="23"/>
        <v>40.643999999999998</v>
      </c>
    </row>
    <row r="32" ht="14.25">
      <c r="A32">
        <v>195408</v>
      </c>
      <c r="B32">
        <v>180</v>
      </c>
      <c r="C32">
        <v>71.469999999999999</v>
      </c>
      <c r="D32">
        <v>159</v>
      </c>
      <c r="E32">
        <v>28.600000000000001</v>
      </c>
      <c r="F32">
        <f t="shared" si="12"/>
        <v>3.2999999999999998</v>
      </c>
      <c r="G32">
        <f t="shared" si="13"/>
        <v>100</v>
      </c>
      <c r="H32">
        <v>37.5</v>
      </c>
      <c r="I32">
        <f t="shared" si="14"/>
        <v>44</v>
      </c>
      <c r="J32">
        <f t="shared" si="15"/>
        <v>8.8999999999999986</v>
      </c>
      <c r="K32">
        <f t="shared" si="16"/>
        <v>1.6019999999999996</v>
      </c>
      <c r="L32">
        <f t="shared" si="17"/>
        <v>1.4239999999999997</v>
      </c>
      <c r="M32">
        <f t="shared" si="18"/>
        <v>1.246</v>
      </c>
      <c r="N32">
        <f t="shared" si="19"/>
        <v>1.0679999999999998</v>
      </c>
      <c r="O32" s="4">
        <f t="shared" si="20"/>
        <v>62.585999999999984</v>
      </c>
      <c r="P32">
        <f t="shared" si="21"/>
        <v>55.632000000000005</v>
      </c>
      <c r="Q32">
        <f t="shared" si="22"/>
        <v>48.678000000000004</v>
      </c>
      <c r="R32">
        <f t="shared" si="23"/>
        <v>41.723999999999997</v>
      </c>
    </row>
    <row r="33" ht="14.25">
      <c r="A33">
        <v>201711</v>
      </c>
      <c r="B33">
        <v>176</v>
      </c>
      <c r="C33">
        <v>73.230000000000004</v>
      </c>
      <c r="D33">
        <v>159</v>
      </c>
      <c r="E33">
        <v>28.600000000000001</v>
      </c>
      <c r="F33">
        <f t="shared" si="12"/>
        <v>3.3999999999999999</v>
      </c>
      <c r="G33">
        <f t="shared" si="13"/>
        <v>100</v>
      </c>
      <c r="H33">
        <v>37.5</v>
      </c>
      <c r="I33">
        <f t="shared" si="14"/>
        <v>44</v>
      </c>
      <c r="J33">
        <f t="shared" si="15"/>
        <v>8.8999999999999986</v>
      </c>
      <c r="K33">
        <f t="shared" si="16"/>
        <v>1.6019999999999996</v>
      </c>
      <c r="L33">
        <f t="shared" si="17"/>
        <v>1.4239999999999997</v>
      </c>
      <c r="M33">
        <f t="shared" si="18"/>
        <v>1.246</v>
      </c>
      <c r="N33">
        <f t="shared" si="19"/>
        <v>1.0679999999999998</v>
      </c>
      <c r="O33" s="4">
        <f t="shared" si="20"/>
        <v>64.187999999999988</v>
      </c>
      <c r="P33">
        <f t="shared" si="21"/>
        <v>57.056000000000004</v>
      </c>
      <c r="Q33">
        <f t="shared" si="22"/>
        <v>49.924000000000007</v>
      </c>
      <c r="R33">
        <f t="shared" si="23"/>
        <v>42.791999999999994</v>
      </c>
    </row>
    <row r="34" ht="14.25">
      <c r="A34">
        <v>208014</v>
      </c>
      <c r="B34">
        <v>172.66999999999999</v>
      </c>
      <c r="C34">
        <v>74.959999999999994</v>
      </c>
      <c r="D34">
        <v>159</v>
      </c>
      <c r="E34">
        <v>28.800000000000001</v>
      </c>
      <c r="F34">
        <f t="shared" si="12"/>
        <v>3.5</v>
      </c>
      <c r="G34">
        <f t="shared" si="13"/>
        <v>100</v>
      </c>
      <c r="H34">
        <v>37.5</v>
      </c>
      <c r="I34">
        <f t="shared" si="14"/>
        <v>44</v>
      </c>
      <c r="J34">
        <f t="shared" si="15"/>
        <v>8.6999999999999993</v>
      </c>
      <c r="K34">
        <f t="shared" si="16"/>
        <v>1.5659999999999998</v>
      </c>
      <c r="L34">
        <f t="shared" si="17"/>
        <v>1.3919999999999999</v>
      </c>
      <c r="M34">
        <f t="shared" si="18"/>
        <v>1.218</v>
      </c>
      <c r="N34">
        <f t="shared" si="19"/>
        <v>1.0439999999999998</v>
      </c>
      <c r="O34" s="4">
        <f t="shared" si="20"/>
        <v>65.789999999999992</v>
      </c>
      <c r="P34">
        <f t="shared" si="21"/>
        <v>58.480000000000004</v>
      </c>
      <c r="Q34">
        <f t="shared" si="22"/>
        <v>51.170000000000009</v>
      </c>
      <c r="R34">
        <f t="shared" si="23"/>
        <v>43.859999999999992</v>
      </c>
    </row>
    <row r="35" ht="14.25">
      <c r="A35">
        <v>214318</v>
      </c>
      <c r="B35">
        <v>164</v>
      </c>
      <c r="C35">
        <v>76.599999999999994</v>
      </c>
      <c r="D35">
        <v>159</v>
      </c>
      <c r="E35">
        <v>29.399999999999999</v>
      </c>
      <c r="F35">
        <f t="shared" si="12"/>
        <v>3.6000000000000001</v>
      </c>
      <c r="G35">
        <f t="shared" si="13"/>
        <v>100</v>
      </c>
      <c r="H35">
        <v>37.5</v>
      </c>
      <c r="I35">
        <f t="shared" si="14"/>
        <v>44</v>
      </c>
      <c r="J35">
        <f t="shared" si="15"/>
        <v>8.1000000000000014</v>
      </c>
      <c r="K35">
        <f t="shared" si="16"/>
        <v>1.4580000000000002</v>
      </c>
      <c r="L35">
        <f t="shared" si="17"/>
        <v>1.2960000000000003</v>
      </c>
      <c r="M35">
        <f t="shared" si="18"/>
        <v>1.1340000000000003</v>
      </c>
      <c r="N35">
        <f t="shared" si="19"/>
        <v>0.97200000000000009</v>
      </c>
      <c r="O35" s="4">
        <f t="shared" si="20"/>
        <v>67.355999999999995</v>
      </c>
      <c r="P35">
        <f t="shared" si="21"/>
        <v>59.872000000000007</v>
      </c>
      <c r="Q35">
        <f t="shared" si="22"/>
        <v>52.388000000000005</v>
      </c>
      <c r="R35">
        <f t="shared" si="23"/>
        <v>44.903999999999989</v>
      </c>
    </row>
    <row r="36" ht="14.25">
      <c r="A36">
        <v>220620</v>
      </c>
      <c r="B36">
        <v>162</v>
      </c>
      <c r="C36">
        <v>78.219999999999999</v>
      </c>
      <c r="D36">
        <v>159</v>
      </c>
      <c r="E36">
        <v>29.600000000000001</v>
      </c>
      <c r="F36">
        <f t="shared" si="12"/>
        <v>3.7000000000000002</v>
      </c>
      <c r="G36">
        <f t="shared" si="13"/>
        <v>100</v>
      </c>
      <c r="H36">
        <v>37.5</v>
      </c>
      <c r="I36">
        <f t="shared" si="14"/>
        <v>44</v>
      </c>
      <c r="J36">
        <f t="shared" si="15"/>
        <v>7.8999999999999986</v>
      </c>
      <c r="K36">
        <f t="shared" si="16"/>
        <v>1.4219999999999997</v>
      </c>
      <c r="L36">
        <f t="shared" si="17"/>
        <v>1.2639999999999998</v>
      </c>
      <c r="M36">
        <f t="shared" si="18"/>
        <v>1.1059999999999999</v>
      </c>
      <c r="N36">
        <f t="shared" si="19"/>
        <v>0.94799999999999984</v>
      </c>
      <c r="O36" s="4">
        <f t="shared" si="20"/>
        <v>68.813999999999993</v>
      </c>
      <c r="P36">
        <f t="shared" si="21"/>
        <v>61.168000000000006</v>
      </c>
      <c r="Q36">
        <f t="shared" si="22"/>
        <v>53.522000000000006</v>
      </c>
      <c r="R36">
        <f t="shared" si="23"/>
        <v>45.875999999999991</v>
      </c>
    </row>
    <row r="37" ht="14.25">
      <c r="A37">
        <v>226923</v>
      </c>
      <c r="B37">
        <v>155.33000000000001</v>
      </c>
      <c r="C37">
        <v>79.769999999999996</v>
      </c>
      <c r="D37">
        <v>159</v>
      </c>
      <c r="E37">
        <v>29.800000000000001</v>
      </c>
      <c r="F37">
        <f t="shared" si="12"/>
        <v>3.7999999999999998</v>
      </c>
      <c r="G37">
        <f t="shared" si="13"/>
        <v>100</v>
      </c>
      <c r="H37">
        <v>37.5</v>
      </c>
      <c r="I37">
        <f t="shared" si="14"/>
        <v>44</v>
      </c>
      <c r="J37">
        <f t="shared" si="15"/>
        <v>7.6999999999999993</v>
      </c>
      <c r="K37">
        <f t="shared" si="16"/>
        <v>1.3859999999999999</v>
      </c>
      <c r="L37">
        <f t="shared" si="17"/>
        <v>1.232</v>
      </c>
      <c r="M37">
        <f t="shared" si="18"/>
        <v>1.0780000000000001</v>
      </c>
      <c r="N37">
        <f t="shared" si="19"/>
        <v>0.92399999999999993</v>
      </c>
      <c r="O37" s="4">
        <f t="shared" si="20"/>
        <v>70.23599999999999</v>
      </c>
      <c r="P37">
        <f t="shared" si="21"/>
        <v>62.432000000000009</v>
      </c>
      <c r="Q37">
        <f t="shared" si="22"/>
        <v>54.628000000000007</v>
      </c>
      <c r="R37">
        <f t="shared" si="23"/>
        <v>46.823999999999991</v>
      </c>
    </row>
    <row r="38" ht="14.25">
      <c r="A38">
        <v>233226</v>
      </c>
      <c r="B38">
        <v>149.33000000000001</v>
      </c>
      <c r="C38">
        <v>81.269999999999996</v>
      </c>
      <c r="D38">
        <v>159</v>
      </c>
      <c r="E38">
        <v>30.199999999999999</v>
      </c>
      <c r="F38">
        <f t="shared" si="12"/>
        <v>3.8999999999999999</v>
      </c>
      <c r="G38">
        <f t="shared" si="13"/>
        <v>100</v>
      </c>
      <c r="H38">
        <v>37.5</v>
      </c>
      <c r="I38">
        <f t="shared" si="14"/>
        <v>44</v>
      </c>
      <c r="J38">
        <f t="shared" si="15"/>
        <v>7.3000000000000007</v>
      </c>
      <c r="K38">
        <f t="shared" si="16"/>
        <v>1.3140000000000001</v>
      </c>
      <c r="L38">
        <f t="shared" si="17"/>
        <v>1.1680000000000001</v>
      </c>
      <c r="M38">
        <f t="shared" si="18"/>
        <v>1.0220000000000002</v>
      </c>
      <c r="N38">
        <f t="shared" si="19"/>
        <v>0.876</v>
      </c>
      <c r="O38" s="4">
        <f t="shared" si="20"/>
        <v>71.621999999999986</v>
      </c>
      <c r="P38">
        <f t="shared" si="21"/>
        <v>63.664000000000009</v>
      </c>
      <c r="Q38">
        <f t="shared" si="22"/>
        <v>55.70600000000001</v>
      </c>
      <c r="R38">
        <f t="shared" si="23"/>
        <v>47.74799999999999</v>
      </c>
    </row>
    <row r="39" ht="14.25">
      <c r="A39">
        <v>239529</v>
      </c>
      <c r="B39">
        <v>146</v>
      </c>
      <c r="C39">
        <v>82.730000000000004</v>
      </c>
      <c r="D39">
        <v>159</v>
      </c>
      <c r="E39">
        <v>30.300000000000001</v>
      </c>
      <c r="F39">
        <f t="shared" si="12"/>
        <v>4</v>
      </c>
      <c r="G39">
        <f t="shared" si="13"/>
        <v>100</v>
      </c>
      <c r="H39">
        <v>37.5</v>
      </c>
      <c r="I39">
        <f t="shared" si="14"/>
        <v>44</v>
      </c>
      <c r="J39">
        <f t="shared" si="15"/>
        <v>7.1999999999999993</v>
      </c>
      <c r="K39">
        <f t="shared" si="16"/>
        <v>1.2959999999999998</v>
      </c>
      <c r="L39">
        <f t="shared" si="17"/>
        <v>1.1519999999999999</v>
      </c>
      <c r="M39">
        <f t="shared" si="18"/>
        <v>1.008</v>
      </c>
      <c r="N39">
        <f t="shared" si="19"/>
        <v>0.86399999999999988</v>
      </c>
      <c r="O39" s="4">
        <f t="shared" si="20"/>
        <v>72.935999999999979</v>
      </c>
      <c r="P39">
        <f t="shared" si="21"/>
        <v>64.832000000000008</v>
      </c>
      <c r="Q39">
        <f t="shared" si="22"/>
        <v>56.728000000000009</v>
      </c>
      <c r="R39">
        <f t="shared" si="23"/>
        <v>48.623999999999988</v>
      </c>
    </row>
    <row r="40" ht="14.25">
      <c r="A40">
        <v>245832</v>
      </c>
      <c r="B40">
        <v>140.66999999999999</v>
      </c>
      <c r="C40">
        <v>84.129999999999995</v>
      </c>
      <c r="D40">
        <v>159</v>
      </c>
      <c r="E40">
        <v>30.5</v>
      </c>
      <c r="F40">
        <f t="shared" si="12"/>
        <v>4.0999999999999996</v>
      </c>
      <c r="G40">
        <f t="shared" si="13"/>
        <v>100</v>
      </c>
      <c r="H40">
        <v>37.5</v>
      </c>
      <c r="I40">
        <f t="shared" si="14"/>
        <v>44</v>
      </c>
      <c r="J40">
        <f t="shared" si="15"/>
        <v>7</v>
      </c>
      <c r="K40">
        <f t="shared" si="16"/>
        <v>1.26</v>
      </c>
      <c r="L40">
        <f t="shared" si="17"/>
        <v>1.1200000000000001</v>
      </c>
      <c r="M40">
        <f t="shared" si="18"/>
        <v>0.98000000000000009</v>
      </c>
      <c r="N40">
        <f t="shared" si="19"/>
        <v>0.83999999999999997</v>
      </c>
      <c r="O40" s="4">
        <f t="shared" si="20"/>
        <v>74.231999999999985</v>
      </c>
      <c r="P40">
        <f t="shared" si="21"/>
        <v>65.984000000000009</v>
      </c>
      <c r="Q40">
        <f t="shared" si="22"/>
        <v>57.736000000000011</v>
      </c>
      <c r="R40">
        <f t="shared" si="23"/>
        <v>49.487999999999985</v>
      </c>
    </row>
    <row r="41" ht="14.25">
      <c r="A41">
        <v>252136</v>
      </c>
      <c r="B41">
        <v>135.33000000000001</v>
      </c>
      <c r="C41">
        <v>85.489999999999995</v>
      </c>
      <c r="D41">
        <v>159</v>
      </c>
      <c r="E41">
        <v>30.899999999999999</v>
      </c>
      <c r="F41">
        <f t="shared" si="12"/>
        <v>4.2000000000000002</v>
      </c>
      <c r="G41">
        <f t="shared" si="13"/>
        <v>100</v>
      </c>
      <c r="H41">
        <v>37.5</v>
      </c>
      <c r="I41">
        <f t="shared" si="14"/>
        <v>44</v>
      </c>
      <c r="J41">
        <f t="shared" si="15"/>
        <v>6.6000000000000014</v>
      </c>
      <c r="K41">
        <f t="shared" si="16"/>
        <v>1.1880000000000002</v>
      </c>
      <c r="L41">
        <f t="shared" si="17"/>
        <v>1.0560000000000003</v>
      </c>
      <c r="M41">
        <f t="shared" si="18"/>
        <v>0.92400000000000027</v>
      </c>
      <c r="N41">
        <f t="shared" si="19"/>
        <v>0.79200000000000015</v>
      </c>
      <c r="O41" s="4">
        <f t="shared" si="20"/>
        <v>75.49199999999999</v>
      </c>
      <c r="P41">
        <f t="shared" si="21"/>
        <v>67.104000000000013</v>
      </c>
      <c r="Q41">
        <f t="shared" si="22"/>
        <v>58.716000000000008</v>
      </c>
      <c r="R41">
        <f t="shared" si="23"/>
        <v>50.327999999999989</v>
      </c>
    </row>
    <row r="42" ht="14.25">
      <c r="A42">
        <v>258441</v>
      </c>
      <c r="B42">
        <v>129.33000000000001</v>
      </c>
      <c r="C42">
        <v>86.780000000000001</v>
      </c>
      <c r="D42">
        <v>159</v>
      </c>
      <c r="E42">
        <v>31.100000000000001</v>
      </c>
      <c r="F42">
        <f t="shared" si="12"/>
        <v>4.2999999999999998</v>
      </c>
      <c r="G42">
        <f t="shared" si="13"/>
        <v>100</v>
      </c>
      <c r="H42">
        <v>37.5</v>
      </c>
      <c r="I42">
        <f t="shared" si="14"/>
        <v>44</v>
      </c>
      <c r="J42">
        <f t="shared" si="15"/>
        <v>6.3999999999999986</v>
      </c>
      <c r="K42">
        <f t="shared" si="16"/>
        <v>1.1519999999999997</v>
      </c>
      <c r="L42">
        <f t="shared" si="17"/>
        <v>1.0239999999999998</v>
      </c>
      <c r="M42">
        <f t="shared" si="18"/>
        <v>0.89599999999999991</v>
      </c>
      <c r="N42">
        <f t="shared" si="19"/>
        <v>0.76799999999999979</v>
      </c>
      <c r="O42" s="4">
        <f t="shared" si="20"/>
        <v>76.679999999999993</v>
      </c>
      <c r="P42">
        <f t="shared" si="21"/>
        <v>68.160000000000011</v>
      </c>
      <c r="Q42">
        <f t="shared" si="22"/>
        <v>59.640000000000008</v>
      </c>
      <c r="R42">
        <f t="shared" si="23"/>
        <v>51.11999999999999</v>
      </c>
    </row>
    <row r="43" ht="14.25">
      <c r="A43">
        <v>264744</v>
      </c>
      <c r="B43">
        <v>125.33</v>
      </c>
      <c r="C43">
        <v>88.030000000000001</v>
      </c>
      <c r="D43">
        <v>159</v>
      </c>
      <c r="E43">
        <v>31.300000000000001</v>
      </c>
      <c r="F43">
        <f t="shared" si="12"/>
        <v>4.4000000000000004</v>
      </c>
      <c r="G43">
        <f t="shared" si="13"/>
        <v>100</v>
      </c>
      <c r="H43">
        <v>37.5</v>
      </c>
      <c r="I43">
        <f t="shared" si="14"/>
        <v>44</v>
      </c>
      <c r="J43">
        <f t="shared" si="15"/>
        <v>6.1999999999999993</v>
      </c>
      <c r="K43">
        <f t="shared" si="16"/>
        <v>1.1159999999999999</v>
      </c>
      <c r="L43">
        <f t="shared" si="17"/>
        <v>0.99199999999999988</v>
      </c>
      <c r="M43">
        <f t="shared" si="18"/>
        <v>0.86799999999999999</v>
      </c>
      <c r="N43">
        <f t="shared" si="19"/>
        <v>0.74399999999999988</v>
      </c>
      <c r="O43" s="4">
        <f t="shared" si="20"/>
        <v>77.831999999999994</v>
      </c>
      <c r="P43">
        <f t="shared" si="21"/>
        <v>69.184000000000012</v>
      </c>
      <c r="Q43">
        <f t="shared" si="22"/>
        <v>60.536000000000008</v>
      </c>
      <c r="R43">
        <f t="shared" si="23"/>
        <v>51.887999999999991</v>
      </c>
    </row>
    <row r="44" ht="14.25">
      <c r="A44">
        <v>271047</v>
      </c>
      <c r="B44">
        <v>119.33</v>
      </c>
      <c r="C44">
        <v>89.230000000000004</v>
      </c>
      <c r="D44">
        <v>159</v>
      </c>
      <c r="E44">
        <v>31.699999999999999</v>
      </c>
      <c r="F44">
        <f t="shared" si="12"/>
        <v>4.5</v>
      </c>
      <c r="G44">
        <f t="shared" si="13"/>
        <v>100</v>
      </c>
      <c r="H44">
        <v>37.5</v>
      </c>
      <c r="I44">
        <f t="shared" si="14"/>
        <v>44</v>
      </c>
      <c r="J44">
        <f t="shared" si="15"/>
        <v>5.8000000000000007</v>
      </c>
      <c r="K44">
        <f t="shared" si="16"/>
        <v>1.044</v>
      </c>
      <c r="L44">
        <f t="shared" si="17"/>
        <v>0.92800000000000016</v>
      </c>
      <c r="M44">
        <f t="shared" si="18"/>
        <v>0.81200000000000017</v>
      </c>
      <c r="N44">
        <f t="shared" si="19"/>
        <v>0.69600000000000006</v>
      </c>
      <c r="O44" s="4">
        <f t="shared" si="20"/>
        <v>78.947999999999993</v>
      </c>
      <c r="P44">
        <f t="shared" si="21"/>
        <v>70.176000000000016</v>
      </c>
      <c r="Q44">
        <f t="shared" si="22"/>
        <v>61.404000000000011</v>
      </c>
      <c r="R44">
        <f t="shared" si="23"/>
        <v>52.631999999999991</v>
      </c>
    </row>
    <row r="45" ht="14.25">
      <c r="A45">
        <v>277350</v>
      </c>
      <c r="B45">
        <v>116.67</v>
      </c>
      <c r="C45">
        <v>90.390000000000001</v>
      </c>
      <c r="D45">
        <v>159</v>
      </c>
      <c r="E45">
        <v>31.800000000000001</v>
      </c>
      <c r="F45">
        <f t="shared" si="12"/>
        <v>4.5999999999999996</v>
      </c>
      <c r="G45">
        <f t="shared" si="13"/>
        <v>100</v>
      </c>
      <c r="H45">
        <v>37.5</v>
      </c>
      <c r="I45">
        <f t="shared" si="14"/>
        <v>44</v>
      </c>
      <c r="J45">
        <f t="shared" si="15"/>
        <v>5.6999999999999993</v>
      </c>
      <c r="K45">
        <f t="shared" si="16"/>
        <v>1.0259999999999998</v>
      </c>
      <c r="L45">
        <f t="shared" si="17"/>
        <v>0.91199999999999992</v>
      </c>
      <c r="M45">
        <f t="shared" si="18"/>
        <v>0.79799999999999993</v>
      </c>
      <c r="N45">
        <f t="shared" si="19"/>
        <v>0.68399999999999994</v>
      </c>
      <c r="O45" s="4">
        <f t="shared" si="20"/>
        <v>79.99199999999999</v>
      </c>
      <c r="P45">
        <f t="shared" si="21"/>
        <v>71.104000000000013</v>
      </c>
      <c r="Q45">
        <f t="shared" si="22"/>
        <v>62.216000000000008</v>
      </c>
      <c r="R45">
        <f t="shared" si="23"/>
        <v>53.327999999999989</v>
      </c>
    </row>
    <row r="46" ht="14.25">
      <c r="A46">
        <v>283654</v>
      </c>
      <c r="B46">
        <v>114</v>
      </c>
      <c r="C46">
        <v>91.530000000000001</v>
      </c>
      <c r="D46">
        <v>159</v>
      </c>
      <c r="E46">
        <v>31.699999999999999</v>
      </c>
      <c r="F46">
        <f t="shared" si="12"/>
        <v>4.7000000000000002</v>
      </c>
      <c r="G46">
        <f t="shared" si="13"/>
        <v>100</v>
      </c>
      <c r="H46">
        <v>37.5</v>
      </c>
      <c r="I46">
        <f t="shared" si="14"/>
        <v>44</v>
      </c>
      <c r="J46">
        <f t="shared" si="15"/>
        <v>5.8000000000000007</v>
      </c>
      <c r="K46">
        <f t="shared" si="16"/>
        <v>1.044</v>
      </c>
      <c r="L46">
        <f t="shared" si="17"/>
        <v>0.92800000000000016</v>
      </c>
      <c r="M46">
        <f t="shared" si="18"/>
        <v>0.81200000000000017</v>
      </c>
      <c r="N46">
        <f t="shared" si="19"/>
        <v>0.69600000000000006</v>
      </c>
      <c r="O46" s="4">
        <f t="shared" si="20"/>
        <v>81.017999999999986</v>
      </c>
      <c r="P46">
        <f t="shared" si="21"/>
        <v>72.01600000000002</v>
      </c>
      <c r="Q46">
        <f t="shared" si="22"/>
        <v>63.01400000000001</v>
      </c>
      <c r="R46">
        <f t="shared" si="23"/>
        <v>54.011999999999986</v>
      </c>
    </row>
    <row r="47" ht="14.25">
      <c r="A47">
        <v>289956</v>
      </c>
      <c r="B47">
        <v>102.67</v>
      </c>
      <c r="C47">
        <v>92.560000000000002</v>
      </c>
      <c r="D47">
        <v>159</v>
      </c>
      <c r="E47">
        <v>32.399999999999999</v>
      </c>
      <c r="F47">
        <f t="shared" si="12"/>
        <v>4.7999999999999998</v>
      </c>
      <c r="G47">
        <f t="shared" si="13"/>
        <v>100</v>
      </c>
      <c r="H47">
        <v>37.5</v>
      </c>
      <c r="I47">
        <f t="shared" si="14"/>
        <v>44</v>
      </c>
      <c r="J47">
        <f t="shared" si="15"/>
        <v>5.1000000000000014</v>
      </c>
      <c r="K47">
        <f t="shared" si="16"/>
        <v>0.91800000000000026</v>
      </c>
      <c r="L47">
        <f t="shared" si="17"/>
        <v>0.81600000000000028</v>
      </c>
      <c r="M47">
        <f t="shared" si="18"/>
        <v>0.7140000000000003</v>
      </c>
      <c r="N47">
        <f t="shared" si="19"/>
        <v>0.6120000000000001</v>
      </c>
      <c r="O47" s="4">
        <f t="shared" si="20"/>
        <v>82.061999999999983</v>
      </c>
      <c r="P47">
        <f t="shared" si="21"/>
        <v>72.944000000000017</v>
      </c>
      <c r="Q47">
        <f t="shared" si="22"/>
        <v>63.826000000000008</v>
      </c>
      <c r="R47">
        <f t="shared" si="23"/>
        <v>54.707999999999984</v>
      </c>
    </row>
    <row r="48" ht="14.25">
      <c r="A48">
        <v>296258</v>
      </c>
      <c r="B48">
        <v>100</v>
      </c>
      <c r="C48">
        <v>93.560000000000002</v>
      </c>
      <c r="D48">
        <v>159</v>
      </c>
      <c r="E48">
        <v>32.600000000000001</v>
      </c>
      <c r="F48">
        <f t="shared" si="12"/>
        <v>4.9000000000000004</v>
      </c>
      <c r="G48">
        <f t="shared" si="13"/>
        <v>100</v>
      </c>
      <c r="H48">
        <v>37.5</v>
      </c>
      <c r="I48">
        <f t="shared" si="14"/>
        <v>44</v>
      </c>
      <c r="J48">
        <f t="shared" si="15"/>
        <v>4.8999999999999986</v>
      </c>
      <c r="K48">
        <f t="shared" si="16"/>
        <v>0.88199999999999967</v>
      </c>
      <c r="L48">
        <f t="shared" si="17"/>
        <v>0.78399999999999981</v>
      </c>
      <c r="M48">
        <f t="shared" si="18"/>
        <v>0.68599999999999983</v>
      </c>
      <c r="N48">
        <f t="shared" si="19"/>
        <v>0.58799999999999986</v>
      </c>
      <c r="O48" s="4">
        <f t="shared" si="20"/>
        <v>82.97999999999999</v>
      </c>
      <c r="P48">
        <f t="shared" si="21"/>
        <v>73.760000000000019</v>
      </c>
      <c r="Q48">
        <f t="shared" si="22"/>
        <v>64.540000000000006</v>
      </c>
      <c r="R48">
        <f t="shared" si="23"/>
        <v>55.319999999999986</v>
      </c>
    </row>
    <row r="49" ht="14.25">
      <c r="A49">
        <v>302562</v>
      </c>
      <c r="B49">
        <v>96</v>
      </c>
      <c r="C49">
        <v>94.519999999999996</v>
      </c>
      <c r="D49">
        <v>159</v>
      </c>
      <c r="E49">
        <v>32.899999999999999</v>
      </c>
      <c r="F49">
        <f t="shared" si="12"/>
        <v>5</v>
      </c>
      <c r="G49">
        <f t="shared" si="13"/>
        <v>100</v>
      </c>
      <c r="H49">
        <v>37.5</v>
      </c>
      <c r="I49">
        <f t="shared" si="14"/>
        <v>44</v>
      </c>
      <c r="J49">
        <f t="shared" si="15"/>
        <v>4.6000000000000014</v>
      </c>
      <c r="K49">
        <f t="shared" si="16"/>
        <v>0.82800000000000018</v>
      </c>
      <c r="L49">
        <f t="shared" si="17"/>
        <v>0.73600000000000021</v>
      </c>
      <c r="M49">
        <f t="shared" si="18"/>
        <v>0.64400000000000024</v>
      </c>
      <c r="N49">
        <f t="shared" si="19"/>
        <v>0.55200000000000016</v>
      </c>
      <c r="O49" s="4">
        <f t="shared" si="20"/>
        <v>83.861999999999995</v>
      </c>
      <c r="P49">
        <f t="shared" si="21"/>
        <v>74.544000000000025</v>
      </c>
      <c r="Q49">
        <f t="shared" si="22"/>
        <v>65.225999999999999</v>
      </c>
      <c r="R49">
        <f t="shared" si="23"/>
        <v>55.907999999999987</v>
      </c>
    </row>
    <row r="50" ht="14.25">
      <c r="A50">
        <v>308866</v>
      </c>
      <c r="B50">
        <v>86</v>
      </c>
      <c r="C50">
        <v>95.379999999999995</v>
      </c>
      <c r="D50">
        <v>159</v>
      </c>
      <c r="E50">
        <v>33.5</v>
      </c>
      <c r="F50">
        <f t="shared" si="12"/>
        <v>5.0999999999999996</v>
      </c>
      <c r="G50">
        <f t="shared" si="13"/>
        <v>100</v>
      </c>
      <c r="H50">
        <v>37.5</v>
      </c>
      <c r="I50">
        <f t="shared" si="14"/>
        <v>44</v>
      </c>
      <c r="J50">
        <f t="shared" si="15"/>
        <v>4</v>
      </c>
      <c r="K50">
        <f t="shared" si="16"/>
        <v>0.71999999999999997</v>
      </c>
      <c r="L50">
        <f t="shared" si="17"/>
        <v>0.64000000000000001</v>
      </c>
      <c r="M50">
        <f t="shared" si="18"/>
        <v>0.56000000000000005</v>
      </c>
      <c r="N50">
        <f t="shared" si="19"/>
        <v>0.47999999999999998</v>
      </c>
      <c r="O50" s="4">
        <f t="shared" si="20"/>
        <v>84.689999999999998</v>
      </c>
      <c r="P50">
        <f t="shared" si="21"/>
        <v>75.28000000000003</v>
      </c>
      <c r="Q50">
        <f t="shared" si="22"/>
        <v>65.870000000000005</v>
      </c>
      <c r="R50">
        <f t="shared" si="23"/>
        <v>56.459999999999987</v>
      </c>
    </row>
    <row r="51" ht="14.25">
      <c r="A51">
        <v>315168</v>
      </c>
      <c r="B51">
        <v>88</v>
      </c>
      <c r="C51">
        <v>96.260000000000005</v>
      </c>
      <c r="D51">
        <v>159</v>
      </c>
      <c r="E51">
        <v>33.200000000000003</v>
      </c>
      <c r="F51">
        <f t="shared" si="12"/>
        <v>5.2999999999999998</v>
      </c>
      <c r="G51">
        <f t="shared" si="13"/>
        <v>100</v>
      </c>
      <c r="H51">
        <v>37.5</v>
      </c>
      <c r="I51">
        <f t="shared" si="14"/>
        <v>44</v>
      </c>
      <c r="J51">
        <f t="shared" si="15"/>
        <v>4.2999999999999972</v>
      </c>
      <c r="K51">
        <f t="shared" si="16"/>
        <v>0.77399999999999947</v>
      </c>
      <c r="L51">
        <f t="shared" si="17"/>
        <v>0.68799999999999961</v>
      </c>
      <c r="M51">
        <f t="shared" si="18"/>
        <v>0.60199999999999965</v>
      </c>
      <c r="N51">
        <f t="shared" si="19"/>
        <v>0.51599999999999968</v>
      </c>
      <c r="O51" s="4">
        <f t="shared" si="20"/>
        <v>85.409999999999997</v>
      </c>
      <c r="P51">
        <f t="shared" si="21"/>
        <v>75.92000000000003</v>
      </c>
      <c r="Q51">
        <f t="shared" si="22"/>
        <v>66.430000000000007</v>
      </c>
      <c r="R51">
        <f t="shared" si="23"/>
        <v>56.939999999999984</v>
      </c>
    </row>
    <row r="52" ht="14.25">
      <c r="A52">
        <v>321470</v>
      </c>
      <c r="B52">
        <v>82</v>
      </c>
      <c r="C52">
        <v>97.079999999999998</v>
      </c>
      <c r="D52">
        <v>159</v>
      </c>
      <c r="E52">
        <v>33.399999999999999</v>
      </c>
      <c r="F52">
        <f t="shared" si="12"/>
        <v>5.4000000000000004</v>
      </c>
      <c r="G52">
        <f t="shared" si="13"/>
        <v>100</v>
      </c>
      <c r="H52">
        <v>37.5</v>
      </c>
      <c r="I52">
        <f t="shared" si="14"/>
        <v>44</v>
      </c>
      <c r="J52">
        <f t="shared" si="15"/>
        <v>4.1000000000000014</v>
      </c>
      <c r="K52">
        <f t="shared" si="16"/>
        <v>0.73800000000000021</v>
      </c>
      <c r="L52">
        <f t="shared" si="17"/>
        <v>0.65600000000000025</v>
      </c>
      <c r="M52">
        <f t="shared" si="18"/>
        <v>0.57400000000000029</v>
      </c>
      <c r="N52">
        <f t="shared" si="19"/>
        <v>0.49200000000000016</v>
      </c>
      <c r="O52" s="4">
        <f t="shared" si="20"/>
        <v>86.183999999999997</v>
      </c>
      <c r="P52">
        <f t="shared" si="21"/>
        <v>76.608000000000033</v>
      </c>
      <c r="Q52">
        <f t="shared" si="22"/>
        <v>67.032000000000011</v>
      </c>
      <c r="R52">
        <f t="shared" si="23"/>
        <v>57.455999999999982</v>
      </c>
    </row>
    <row r="53" ht="14.25">
      <c r="A53">
        <v>327774</v>
      </c>
      <c r="B53">
        <v>74.670000000000002</v>
      </c>
      <c r="C53">
        <v>97.829999999999998</v>
      </c>
      <c r="D53">
        <v>159</v>
      </c>
      <c r="E53">
        <v>34</v>
      </c>
      <c r="F53">
        <f t="shared" si="12"/>
        <v>5.5</v>
      </c>
      <c r="G53">
        <f t="shared" si="13"/>
        <v>100</v>
      </c>
      <c r="H53">
        <v>37.5</v>
      </c>
      <c r="I53">
        <f t="shared" si="14"/>
        <v>44</v>
      </c>
      <c r="J53">
        <f t="shared" si="15"/>
        <v>3.5</v>
      </c>
      <c r="K53">
        <f t="shared" si="16"/>
        <v>0.63</v>
      </c>
      <c r="L53">
        <f t="shared" si="17"/>
        <v>0.56000000000000005</v>
      </c>
      <c r="M53">
        <f t="shared" si="18"/>
        <v>0.49000000000000005</v>
      </c>
      <c r="N53">
        <f t="shared" si="19"/>
        <v>0.41999999999999998</v>
      </c>
      <c r="O53" s="4">
        <f t="shared" si="20"/>
        <v>86.921999999999997</v>
      </c>
      <c r="P53">
        <f t="shared" si="21"/>
        <v>77.264000000000038</v>
      </c>
      <c r="Q53">
        <f t="shared" si="22"/>
        <v>67.606000000000009</v>
      </c>
      <c r="R53">
        <f t="shared" si="23"/>
        <v>57.947999999999979</v>
      </c>
    </row>
    <row r="54" ht="14.25">
      <c r="A54">
        <v>334078</v>
      </c>
      <c r="B54">
        <v>68</v>
      </c>
      <c r="C54">
        <v>98.510000000000005</v>
      </c>
      <c r="D54">
        <v>159</v>
      </c>
      <c r="E54">
        <v>34.100000000000001</v>
      </c>
      <c r="F54">
        <f t="shared" si="12"/>
        <v>5.5999999999999996</v>
      </c>
      <c r="G54">
        <f t="shared" si="13"/>
        <v>100</v>
      </c>
      <c r="H54">
        <v>37.5</v>
      </c>
      <c r="I54">
        <f t="shared" si="14"/>
        <v>44</v>
      </c>
      <c r="J54">
        <f t="shared" si="15"/>
        <v>3.3999999999999986</v>
      </c>
      <c r="K54">
        <f t="shared" si="16"/>
        <v>0.61199999999999977</v>
      </c>
      <c r="L54">
        <f t="shared" si="17"/>
        <v>0.54399999999999982</v>
      </c>
      <c r="M54">
        <f t="shared" si="18"/>
        <v>0.47599999999999987</v>
      </c>
      <c r="N54">
        <f t="shared" si="19"/>
        <v>0.40799999999999981</v>
      </c>
      <c r="O54" s="4">
        <f t="shared" si="20"/>
        <v>87.551999999999992</v>
      </c>
      <c r="P54">
        <f t="shared" si="21"/>
        <v>77.824000000000041</v>
      </c>
      <c r="Q54">
        <f t="shared" si="22"/>
        <v>68.096000000000004</v>
      </c>
      <c r="R54">
        <f t="shared" si="23"/>
        <v>58.367999999999981</v>
      </c>
    </row>
    <row r="55" ht="14.25">
      <c r="A55">
        <v>340382</v>
      </c>
      <c r="B55">
        <v>64.670000000000002</v>
      </c>
      <c r="C55">
        <v>99.150000000000006</v>
      </c>
      <c r="D55">
        <v>159</v>
      </c>
      <c r="E55">
        <v>34.299999999999997</v>
      </c>
      <c r="F55">
        <f t="shared" si="12"/>
        <v>5.7000000000000002</v>
      </c>
      <c r="G55">
        <f t="shared" si="13"/>
        <v>100</v>
      </c>
      <c r="H55">
        <v>37.5</v>
      </c>
      <c r="I55">
        <f t="shared" si="14"/>
        <v>44</v>
      </c>
      <c r="J55">
        <f t="shared" si="15"/>
        <v>3.2000000000000028</v>
      </c>
      <c r="K55">
        <f t="shared" si="16"/>
        <v>0.57600000000000051</v>
      </c>
      <c r="L55">
        <f t="shared" si="17"/>
        <v>0.51200000000000045</v>
      </c>
      <c r="M55">
        <f t="shared" si="18"/>
        <v>0.44800000000000045</v>
      </c>
      <c r="N55">
        <f t="shared" si="19"/>
        <v>0.38400000000000034</v>
      </c>
      <c r="O55" s="4">
        <f t="shared" si="20"/>
        <v>88.163999999999987</v>
      </c>
      <c r="P55">
        <f t="shared" si="21"/>
        <v>78.368000000000038</v>
      </c>
      <c r="Q55">
        <f t="shared" si="22"/>
        <v>68.572000000000003</v>
      </c>
      <c r="R55">
        <f t="shared" si="23"/>
        <v>58.775999999999982</v>
      </c>
    </row>
    <row r="56" ht="14.25">
      <c r="A56">
        <v>346686</v>
      </c>
      <c r="B56">
        <v>57.329999999999998</v>
      </c>
      <c r="C56">
        <v>99.730000000000004</v>
      </c>
      <c r="D56">
        <v>157</v>
      </c>
      <c r="E56">
        <v>34.799999999999997</v>
      </c>
      <c r="F56">
        <f t="shared" si="12"/>
        <v>5.7999999999999998</v>
      </c>
      <c r="G56">
        <f t="shared" si="13"/>
        <v>98.700000000000003</v>
      </c>
      <c r="H56">
        <v>37.5</v>
      </c>
      <c r="I56">
        <f t="shared" si="14"/>
        <v>43.399999999999999</v>
      </c>
      <c r="J56">
        <f t="shared" si="15"/>
        <v>2.7000000000000028</v>
      </c>
      <c r="K56">
        <f t="shared" si="16"/>
        <v>0.48600000000000049</v>
      </c>
      <c r="L56">
        <f t="shared" si="17"/>
        <v>0.43200000000000044</v>
      </c>
      <c r="M56">
        <f t="shared" si="18"/>
        <v>0.37800000000000045</v>
      </c>
      <c r="N56">
        <f t="shared" si="19"/>
        <v>0.32400000000000034</v>
      </c>
      <c r="O56" s="4">
        <f t="shared" si="20"/>
        <v>88.739999999999981</v>
      </c>
      <c r="P56">
        <f t="shared" si="21"/>
        <v>78.880000000000038</v>
      </c>
      <c r="Q56">
        <f t="shared" si="22"/>
        <v>69.02000000000001</v>
      </c>
      <c r="R56">
        <f t="shared" si="23"/>
        <v>59.159999999999982</v>
      </c>
    </row>
    <row r="57" ht="14.25">
      <c r="A57">
        <v>352990</v>
      </c>
      <c r="B57">
        <v>56</v>
      </c>
      <c r="C57">
        <v>100.29000000000001</v>
      </c>
      <c r="D57">
        <v>156</v>
      </c>
      <c r="E57">
        <v>34.799999999999997</v>
      </c>
      <c r="F57">
        <f t="shared" si="12"/>
        <v>5.9000000000000004</v>
      </c>
      <c r="G57">
        <f t="shared" si="13"/>
        <v>98.099999999999994</v>
      </c>
      <c r="H57">
        <v>37.5</v>
      </c>
      <c r="I57">
        <f t="shared" si="14"/>
        <v>43.200000000000003</v>
      </c>
      <c r="J57">
        <f t="shared" si="15"/>
        <v>2.7000000000000028</v>
      </c>
      <c r="K57">
        <f t="shared" si="16"/>
        <v>0.48600000000000049</v>
      </c>
      <c r="L57">
        <f t="shared" si="17"/>
        <v>0.43200000000000044</v>
      </c>
      <c r="M57">
        <f t="shared" si="18"/>
        <v>0.37800000000000045</v>
      </c>
      <c r="N57">
        <f t="shared" si="19"/>
        <v>0.32400000000000034</v>
      </c>
      <c r="O57" s="4">
        <f t="shared" si="20"/>
        <v>89.225999999999985</v>
      </c>
      <c r="P57">
        <f t="shared" si="21"/>
        <v>79.31200000000004</v>
      </c>
      <c r="Q57">
        <f t="shared" si="22"/>
        <v>69.39800000000001</v>
      </c>
      <c r="R57">
        <f t="shared" si="23"/>
        <v>59.48399999999998</v>
      </c>
    </row>
    <row r="58" ht="14.25">
      <c r="A58">
        <v>359291</v>
      </c>
      <c r="B58">
        <v>46.670000000000002</v>
      </c>
      <c r="C58">
        <v>100.75</v>
      </c>
      <c r="D58">
        <v>147</v>
      </c>
      <c r="E58">
        <v>35.399999999999999</v>
      </c>
      <c r="F58">
        <f t="shared" si="12"/>
        <v>6</v>
      </c>
      <c r="G58">
        <f t="shared" si="13"/>
        <v>92.5</v>
      </c>
      <c r="H58">
        <v>37.5</v>
      </c>
      <c r="I58">
        <f t="shared" si="14"/>
        <v>40.700000000000003</v>
      </c>
      <c r="J58">
        <f t="shared" si="15"/>
        <v>2.1000000000000014</v>
      </c>
      <c r="K58">
        <f t="shared" si="16"/>
        <v>0.37800000000000022</v>
      </c>
      <c r="L58">
        <f t="shared" si="17"/>
        <v>0.33600000000000024</v>
      </c>
      <c r="M58">
        <f t="shared" si="18"/>
        <v>0.29400000000000021</v>
      </c>
      <c r="N58">
        <f t="shared" si="19"/>
        <v>0.25200000000000017</v>
      </c>
      <c r="O58" s="4">
        <f t="shared" si="20"/>
        <v>89.711999999999989</v>
      </c>
      <c r="P58">
        <f t="shared" si="21"/>
        <v>79.744000000000042</v>
      </c>
      <c r="Q58">
        <f t="shared" si="22"/>
        <v>69.77600000000001</v>
      </c>
      <c r="R58">
        <f t="shared" si="23"/>
        <v>59.807999999999979</v>
      </c>
    </row>
    <row r="59" ht="14.25">
      <c r="A59">
        <v>365594</v>
      </c>
      <c r="B59">
        <v>44</v>
      </c>
      <c r="C59">
        <v>101.19</v>
      </c>
      <c r="D59">
        <v>145</v>
      </c>
      <c r="E59">
        <v>35.5</v>
      </c>
      <c r="F59">
        <f t="shared" si="12"/>
        <v>6.0999999999999996</v>
      </c>
      <c r="G59">
        <f t="shared" si="13"/>
        <v>91.200000000000003</v>
      </c>
      <c r="H59">
        <v>37.5</v>
      </c>
      <c r="I59">
        <f t="shared" si="14"/>
        <v>40.100000000000001</v>
      </c>
      <c r="J59">
        <f t="shared" si="15"/>
        <v>2</v>
      </c>
      <c r="K59">
        <f t="shared" si="16"/>
        <v>0.35999999999999999</v>
      </c>
      <c r="L59">
        <f t="shared" si="17"/>
        <v>0.32000000000000001</v>
      </c>
      <c r="M59">
        <f t="shared" si="18"/>
        <v>0.28000000000000003</v>
      </c>
      <c r="N59">
        <f t="shared" si="19"/>
        <v>0.23999999999999999</v>
      </c>
      <c r="O59" s="4">
        <f t="shared" si="20"/>
        <v>90.089999999999989</v>
      </c>
      <c r="P59">
        <f t="shared" si="21"/>
        <v>80.080000000000041</v>
      </c>
      <c r="Q59">
        <f t="shared" si="22"/>
        <v>70.070000000000007</v>
      </c>
      <c r="R59">
        <f t="shared" si="23"/>
        <v>60.059999999999981</v>
      </c>
    </row>
    <row r="60" ht="14.25">
      <c r="A60">
        <v>371897</v>
      </c>
      <c r="B60">
        <v>40.670000000000002</v>
      </c>
      <c r="C60">
        <v>101.59999999999999</v>
      </c>
      <c r="D60">
        <v>142</v>
      </c>
      <c r="E60">
        <v>35.299999999999997</v>
      </c>
      <c r="F60">
        <f t="shared" si="12"/>
        <v>6.2000000000000002</v>
      </c>
      <c r="G60">
        <f t="shared" si="13"/>
        <v>89.299999999999997</v>
      </c>
      <c r="H60">
        <v>37.5</v>
      </c>
      <c r="I60">
        <f t="shared" si="14"/>
        <v>39.299999999999997</v>
      </c>
      <c r="J60">
        <f t="shared" si="15"/>
        <v>2.2000000000000028</v>
      </c>
      <c r="K60">
        <f t="shared" si="16"/>
        <v>0.39600000000000052</v>
      </c>
      <c r="L60">
        <f t="shared" si="17"/>
        <v>0.35200000000000048</v>
      </c>
      <c r="M60">
        <f t="shared" si="18"/>
        <v>0.30800000000000044</v>
      </c>
      <c r="N60">
        <f t="shared" si="19"/>
        <v>0.26400000000000035</v>
      </c>
      <c r="O60" s="4">
        <f t="shared" si="20"/>
        <v>90.449999999999989</v>
      </c>
      <c r="P60">
        <f t="shared" si="21"/>
        <v>80.400000000000034</v>
      </c>
      <c r="Q60">
        <f t="shared" si="22"/>
        <v>70.350000000000009</v>
      </c>
      <c r="R60">
        <f t="shared" si="23"/>
        <v>60.299999999999983</v>
      </c>
    </row>
    <row r="61" ht="14.25">
      <c r="A61">
        <v>378201</v>
      </c>
      <c r="B61">
        <v>35.329999999999998</v>
      </c>
      <c r="C61">
        <v>101.95</v>
      </c>
      <c r="D61">
        <v>137</v>
      </c>
      <c r="E61">
        <v>35.700000000000003</v>
      </c>
      <c r="F61">
        <f t="shared" si="12"/>
        <v>6.2999999999999998</v>
      </c>
      <c r="G61">
        <f t="shared" si="13"/>
        <v>86.200000000000003</v>
      </c>
      <c r="H61">
        <v>37.5</v>
      </c>
      <c r="I61">
        <f t="shared" si="14"/>
        <v>37.899999999999999</v>
      </c>
      <c r="J61">
        <f t="shared" si="15"/>
        <v>1.7999999999999972</v>
      </c>
      <c r="K61">
        <f t="shared" si="16"/>
        <v>0.32399999999999946</v>
      </c>
      <c r="L61">
        <f t="shared" si="17"/>
        <v>0.28799999999999953</v>
      </c>
      <c r="M61">
        <f t="shared" si="18"/>
        <v>0.25199999999999961</v>
      </c>
      <c r="N61">
        <f t="shared" si="19"/>
        <v>0.21599999999999966</v>
      </c>
      <c r="O61" s="4">
        <f t="shared" si="20"/>
        <v>90.845999999999989</v>
      </c>
      <c r="P61">
        <f t="shared" si="21"/>
        <v>80.752000000000038</v>
      </c>
      <c r="Q61">
        <f t="shared" si="22"/>
        <v>70.658000000000015</v>
      </c>
      <c r="R61">
        <f t="shared" si="23"/>
        <v>60.563999999999986</v>
      </c>
    </row>
    <row r="62" ht="14.25">
      <c r="A62">
        <v>384503</v>
      </c>
      <c r="B62">
        <v>30.670000000000002</v>
      </c>
      <c r="C62">
        <v>102.26000000000001</v>
      </c>
      <c r="D62">
        <v>132</v>
      </c>
      <c r="E62">
        <v>36.299999999999997</v>
      </c>
      <c r="F62">
        <f t="shared" si="12"/>
        <v>6.4000000000000004</v>
      </c>
      <c r="G62">
        <f t="shared" si="13"/>
        <v>83</v>
      </c>
      <c r="H62">
        <v>37.5</v>
      </c>
      <c r="I62">
        <f t="shared" si="14"/>
        <v>36.5</v>
      </c>
      <c r="J62">
        <f t="shared" si="15"/>
        <v>1.2000000000000028</v>
      </c>
      <c r="K62">
        <f t="shared" si="16"/>
        <v>0.2160000000000005</v>
      </c>
      <c r="L62">
        <f t="shared" si="17"/>
        <v>0.19200000000000045</v>
      </c>
      <c r="M62">
        <f t="shared" si="18"/>
        <v>0.16800000000000043</v>
      </c>
      <c r="N62">
        <f t="shared" si="19"/>
        <v>0.14400000000000032</v>
      </c>
      <c r="O62" s="4">
        <f t="shared" si="20"/>
        <v>91.169999999999987</v>
      </c>
      <c r="P62">
        <f t="shared" si="21"/>
        <v>81.040000000000035</v>
      </c>
      <c r="Q62">
        <f t="shared" si="22"/>
        <v>70.910000000000011</v>
      </c>
      <c r="R62">
        <f t="shared" si="23"/>
        <v>60.779999999999987</v>
      </c>
    </row>
    <row r="63" ht="14.25">
      <c r="A63">
        <v>390807</v>
      </c>
      <c r="B63">
        <v>24</v>
      </c>
      <c r="C63">
        <v>102.5</v>
      </c>
      <c r="D63">
        <v>126</v>
      </c>
      <c r="E63">
        <v>36.299999999999997</v>
      </c>
      <c r="F63">
        <f t="shared" si="12"/>
        <v>6.5</v>
      </c>
      <c r="G63">
        <f t="shared" si="13"/>
        <v>79.200000000000003</v>
      </c>
      <c r="H63">
        <v>37.5</v>
      </c>
      <c r="I63">
        <f t="shared" si="14"/>
        <v>34.899999999999999</v>
      </c>
      <c r="J63">
        <f t="shared" si="15"/>
        <v>1.2000000000000028</v>
      </c>
      <c r="K63">
        <f t="shared" si="16"/>
        <v>0.2160000000000005</v>
      </c>
      <c r="L63">
        <f t="shared" si="17"/>
        <v>0.19200000000000045</v>
      </c>
      <c r="M63">
        <f t="shared" si="18"/>
        <v>0.16800000000000043</v>
      </c>
      <c r="N63">
        <f t="shared" si="19"/>
        <v>0.14400000000000032</v>
      </c>
      <c r="O63" s="4">
        <f t="shared" si="20"/>
        <v>91.385999999999981</v>
      </c>
      <c r="P63">
        <f t="shared" si="21"/>
        <v>81.232000000000042</v>
      </c>
      <c r="Q63">
        <f t="shared" si="22"/>
        <v>71.078000000000017</v>
      </c>
      <c r="R63">
        <f t="shared" si="23"/>
        <v>60.923999999999985</v>
      </c>
    </row>
    <row r="64" ht="14.25">
      <c r="A64">
        <v>397110</v>
      </c>
      <c r="B64">
        <v>20.670000000000002</v>
      </c>
      <c r="C64">
        <v>102.70999999999999</v>
      </c>
      <c r="D64">
        <v>123</v>
      </c>
      <c r="E64">
        <v>36.5</v>
      </c>
      <c r="F64">
        <f t="shared" si="12"/>
        <v>6.5999999999999996</v>
      </c>
      <c r="G64">
        <f t="shared" si="13"/>
        <v>77.400000000000006</v>
      </c>
      <c r="H64">
        <v>37.5</v>
      </c>
      <c r="I64">
        <f t="shared" si="14"/>
        <v>34</v>
      </c>
      <c r="J64">
        <f t="shared" si="15"/>
        <v>1</v>
      </c>
      <c r="K64">
        <f t="shared" si="16"/>
        <v>0.17999999999999999</v>
      </c>
      <c r="L64">
        <f t="shared" si="17"/>
        <v>0.16</v>
      </c>
      <c r="M64">
        <f t="shared" si="18"/>
        <v>0.14000000000000001</v>
      </c>
      <c r="N64">
        <f t="shared" si="19"/>
        <v>0.12</v>
      </c>
      <c r="O64" s="4">
        <f t="shared" si="20"/>
        <v>91.601999999999975</v>
      </c>
      <c r="P64">
        <f t="shared" si="21"/>
        <v>81.424000000000049</v>
      </c>
      <c r="Q64">
        <f t="shared" si="22"/>
        <v>71.246000000000024</v>
      </c>
      <c r="R64">
        <f t="shared" si="23"/>
        <v>61.067999999999984</v>
      </c>
    </row>
    <row r="65" ht="14.25">
      <c r="A65">
        <v>403412</v>
      </c>
      <c r="B65">
        <v>16.670000000000002</v>
      </c>
      <c r="C65">
        <v>102.87</v>
      </c>
      <c r="D65">
        <v>119</v>
      </c>
      <c r="E65">
        <v>36.899999999999999</v>
      </c>
      <c r="F65">
        <f t="shared" si="12"/>
        <v>6.7000000000000002</v>
      </c>
      <c r="G65">
        <f t="shared" si="13"/>
        <v>74.799999999999997</v>
      </c>
      <c r="H65">
        <v>37.5</v>
      </c>
      <c r="I65">
        <f t="shared" si="14"/>
        <v>32.899999999999999</v>
      </c>
      <c r="J65">
        <f t="shared" si="15"/>
        <v>0.60000000000000142</v>
      </c>
      <c r="K65">
        <f t="shared" si="16"/>
        <v>0.10800000000000025</v>
      </c>
      <c r="L65">
        <f t="shared" si="17"/>
        <v>9.6000000000000224e-002</v>
      </c>
      <c r="M65">
        <f t="shared" si="18"/>
        <v>8.4000000000000213e-002</v>
      </c>
      <c r="N65">
        <f t="shared" si="19"/>
        <v>7.2000000000000161e-002</v>
      </c>
      <c r="O65" s="4">
        <f t="shared" si="20"/>
        <v>91.781999999999982</v>
      </c>
      <c r="P65">
        <f t="shared" si="21"/>
        <v>81.584000000000046</v>
      </c>
      <c r="Q65">
        <f t="shared" si="22"/>
        <v>71.386000000000024</v>
      </c>
      <c r="R65">
        <f t="shared" si="23"/>
        <v>61.187999999999981</v>
      </c>
    </row>
    <row r="66" ht="14.25">
      <c r="A66">
        <v>409715</v>
      </c>
      <c r="B66">
        <v>11.33</v>
      </c>
      <c r="C66">
        <v>102.98999999999999</v>
      </c>
      <c r="D66">
        <v>114</v>
      </c>
      <c r="E66">
        <v>37</v>
      </c>
      <c r="F66">
        <f t="shared" si="12"/>
        <v>6.7999999999999998</v>
      </c>
      <c r="G66">
        <f t="shared" si="13"/>
        <v>71.700000000000003</v>
      </c>
      <c r="H66">
        <v>37.5</v>
      </c>
      <c r="I66">
        <f t="shared" si="14"/>
        <v>31.5</v>
      </c>
      <c r="J66">
        <f t="shared" si="15"/>
        <v>0.5</v>
      </c>
      <c r="K66">
        <f t="shared" si="16"/>
        <v>8.9999999999999997e-002</v>
      </c>
      <c r="L66">
        <f t="shared" si="17"/>
        <v>8.0000000000000002e-002</v>
      </c>
      <c r="M66">
        <f t="shared" si="18"/>
        <v>7.0000000000000007e-002</v>
      </c>
      <c r="N66">
        <f t="shared" si="19"/>
        <v>5.9999999999999998e-002</v>
      </c>
      <c r="O66" s="4">
        <f t="shared" si="20"/>
        <v>91.889999999999986</v>
      </c>
      <c r="P66">
        <f t="shared" si="21"/>
        <v>81.680000000000049</v>
      </c>
      <c r="Q66">
        <f t="shared" si="22"/>
        <v>71.470000000000027</v>
      </c>
      <c r="R66">
        <f t="shared" si="23"/>
        <v>61.259999999999984</v>
      </c>
    </row>
    <row r="67" ht="14.25">
      <c r="A67">
        <v>416020</v>
      </c>
      <c r="B67">
        <v>6</v>
      </c>
      <c r="C67">
        <v>103.05</v>
      </c>
      <c r="D67">
        <v>109</v>
      </c>
      <c r="E67">
        <v>37.299999999999997</v>
      </c>
      <c r="F67">
        <f t="shared" si="12"/>
        <v>6.9000000000000004</v>
      </c>
      <c r="G67">
        <f t="shared" si="13"/>
        <v>68.599999999999994</v>
      </c>
      <c r="H67">
        <v>37.5</v>
      </c>
      <c r="I67">
        <f t="shared" si="14"/>
        <v>30.199999999999999</v>
      </c>
      <c r="J67">
        <f t="shared" si="15"/>
        <v>0.20000000000000284</v>
      </c>
      <c r="K67">
        <f t="shared" si="16"/>
        <v>3.6000000000000511e-002</v>
      </c>
      <c r="L67">
        <f t="shared" si="17"/>
        <v>3.2000000000000459e-002</v>
      </c>
      <c r="M67">
        <f t="shared" si="18"/>
        <v>2.80000000000004e-002</v>
      </c>
      <c r="N67">
        <f t="shared" si="19"/>
        <v>2.4000000000000341e-002</v>
      </c>
      <c r="O67" s="4">
        <f t="shared" si="20"/>
        <v>91.97999999999999</v>
      </c>
      <c r="P67">
        <f t="shared" si="21"/>
        <v>81.760000000000048</v>
      </c>
      <c r="Q67">
        <f t="shared" si="22"/>
        <v>71.54000000000002</v>
      </c>
      <c r="R67">
        <f t="shared" si="23"/>
        <v>61.319999999999986</v>
      </c>
    </row>
    <row r="68" ht="14.25">
      <c r="A68">
        <v>422324</v>
      </c>
      <c r="B68">
        <v>3.3300000000000001</v>
      </c>
      <c r="C68">
        <v>103.08</v>
      </c>
      <c r="D68">
        <v>106</v>
      </c>
      <c r="E68">
        <v>37.5</v>
      </c>
      <c r="F68">
        <f t="shared" si="12"/>
        <v>7</v>
      </c>
      <c r="G68">
        <f t="shared" si="13"/>
        <v>66.700000000000003</v>
      </c>
      <c r="H68">
        <v>37.5</v>
      </c>
      <c r="I68">
        <f t="shared" si="14"/>
        <v>29.300000000000001</v>
      </c>
      <c r="J68">
        <f t="shared" si="15"/>
        <v>0</v>
      </c>
      <c r="K68">
        <f t="shared" si="16"/>
        <v>0</v>
      </c>
      <c r="L68">
        <f t="shared" si="17"/>
        <v>0</v>
      </c>
      <c r="M68">
        <f t="shared" si="18"/>
        <v>0</v>
      </c>
      <c r="N68">
        <f t="shared" si="19"/>
        <v>0</v>
      </c>
      <c r="O68" s="4">
        <f t="shared" si="20"/>
        <v>92.015999999999991</v>
      </c>
      <c r="P68">
        <f t="shared" si="21"/>
        <v>81.792000000000044</v>
      </c>
      <c r="Q68">
        <f t="shared" si="22"/>
        <v>71.568000000000026</v>
      </c>
      <c r="R68">
        <f t="shared" si="23"/>
        <v>61.343999999999987</v>
      </c>
    </row>
    <row r="69" ht="14.25">
      <c r="A69">
        <v>428627</v>
      </c>
      <c r="B69">
        <v>-2.6699999999999999</v>
      </c>
      <c r="C69">
        <v>103.05</v>
      </c>
      <c r="D69">
        <v>100</v>
      </c>
      <c r="E69">
        <v>37.700000000000003</v>
      </c>
      <c r="F69">
        <f t="shared" si="12"/>
        <v>7.0999999999999996</v>
      </c>
      <c r="G69">
        <f t="shared" si="13"/>
        <v>62.899999999999999</v>
      </c>
      <c r="H69">
        <v>37.5</v>
      </c>
      <c r="I69">
        <f t="shared" si="14"/>
        <v>27.699999999999999</v>
      </c>
      <c r="J69">
        <f t="shared" si="15"/>
        <v>-0.20000000000000284</v>
      </c>
      <c r="K69">
        <f t="shared" si="16"/>
        <v>-3.6000000000000511e-002</v>
      </c>
      <c r="L69">
        <f t="shared" si="17"/>
        <v>-3.2000000000000459e-002</v>
      </c>
      <c r="M69">
        <f t="shared" si="18"/>
        <v>-2.80000000000004e-002</v>
      </c>
      <c r="N69">
        <f t="shared" si="19"/>
        <v>-2.4000000000000341e-002</v>
      </c>
      <c r="O69" s="4">
        <f t="shared" si="20"/>
        <v>92.015999999999991</v>
      </c>
      <c r="P69">
        <f t="shared" si="21"/>
        <v>81.792000000000044</v>
      </c>
      <c r="Q69">
        <f t="shared" si="22"/>
        <v>71.568000000000026</v>
      </c>
      <c r="R69">
        <f t="shared" si="23"/>
        <v>61.343999999999987</v>
      </c>
    </row>
    <row r="70" ht="14.25">
      <c r="A70">
        <v>434931</v>
      </c>
      <c r="B70">
        <v>-8.6699999999999999</v>
      </c>
      <c r="C70">
        <v>102.97</v>
      </c>
      <c r="D70">
        <v>94</v>
      </c>
      <c r="E70">
        <v>38.200000000000003</v>
      </c>
      <c r="F70">
        <f t="shared" si="12"/>
        <v>7.2000000000000002</v>
      </c>
      <c r="G70">
        <f t="shared" si="13"/>
        <v>59.100000000000001</v>
      </c>
      <c r="H70">
        <v>37.5</v>
      </c>
      <c r="I70">
        <f t="shared" si="14"/>
        <v>26</v>
      </c>
      <c r="J70">
        <f t="shared" si="15"/>
        <v>-0.70000000000000284</v>
      </c>
      <c r="K70">
        <f t="shared" si="16"/>
        <v>-0.1260000000000005</v>
      </c>
      <c r="L70">
        <f t="shared" si="17"/>
        <v>-0.11200000000000046</v>
      </c>
      <c r="M70">
        <f t="shared" si="18"/>
        <v>-9.8000000000000406e-002</v>
      </c>
      <c r="N70">
        <f t="shared" si="19"/>
        <v>-8.4000000000000338e-002</v>
      </c>
      <c r="O70" s="4">
        <f t="shared" si="20"/>
        <v>91.97999999999999</v>
      </c>
      <c r="P70">
        <f t="shared" si="21"/>
        <v>81.760000000000048</v>
      </c>
      <c r="Q70">
        <f t="shared" si="22"/>
        <v>71.54000000000002</v>
      </c>
      <c r="R70">
        <f t="shared" si="23"/>
        <v>61.319999999999986</v>
      </c>
    </row>
    <row r="71" ht="14.25">
      <c r="A71">
        <v>441234</v>
      </c>
      <c r="B71">
        <v>-8.6699999999999999</v>
      </c>
      <c r="C71">
        <v>102.88</v>
      </c>
      <c r="D71">
        <v>94</v>
      </c>
      <c r="E71">
        <v>38</v>
      </c>
      <c r="F71">
        <f t="shared" si="12"/>
        <v>7.4000000000000004</v>
      </c>
      <c r="G71">
        <f t="shared" si="13"/>
        <v>59.100000000000001</v>
      </c>
      <c r="H71">
        <v>37.5</v>
      </c>
      <c r="I71">
        <f t="shared" si="14"/>
        <v>26</v>
      </c>
      <c r="J71">
        <f t="shared" si="15"/>
        <v>-0.5</v>
      </c>
      <c r="K71">
        <f t="shared" si="16"/>
        <v>-8.9999999999999997e-002</v>
      </c>
      <c r="L71">
        <f t="shared" si="17"/>
        <v>-8.0000000000000002e-002</v>
      </c>
      <c r="M71">
        <f t="shared" si="18"/>
        <v>-7.0000000000000007e-002</v>
      </c>
      <c r="N71">
        <f t="shared" si="19"/>
        <v>-5.9999999999999998e-002</v>
      </c>
      <c r="O71" s="4">
        <f t="shared" si="20"/>
        <v>91.853999999999985</v>
      </c>
      <c r="P71">
        <f t="shared" si="21"/>
        <v>81.648000000000053</v>
      </c>
      <c r="Q71">
        <f t="shared" si="22"/>
        <v>71.442000000000021</v>
      </c>
      <c r="R71">
        <f t="shared" si="23"/>
        <v>61.235999999999983</v>
      </c>
    </row>
    <row r="72" ht="14.25">
      <c r="A72">
        <v>447538</v>
      </c>
      <c r="B72">
        <v>-15.33</v>
      </c>
      <c r="C72">
        <v>102.73</v>
      </c>
      <c r="D72">
        <v>87</v>
      </c>
      <c r="E72">
        <v>38.600000000000001</v>
      </c>
      <c r="F72">
        <f t="shared" si="12"/>
        <v>7.5</v>
      </c>
      <c r="G72">
        <f t="shared" si="13"/>
        <v>54.700000000000003</v>
      </c>
      <c r="H72">
        <v>37.5</v>
      </c>
      <c r="I72">
        <f t="shared" si="14"/>
        <v>24.100000000000001</v>
      </c>
      <c r="J72">
        <f t="shared" si="15"/>
        <v>-1.1000000000000014</v>
      </c>
      <c r="K72">
        <f t="shared" si="16"/>
        <v>-0.19800000000000026</v>
      </c>
      <c r="L72">
        <f t="shared" si="17"/>
        <v>-0.17600000000000024</v>
      </c>
      <c r="M72">
        <f t="shared" si="18"/>
        <v>-0.15400000000000022</v>
      </c>
      <c r="N72">
        <f t="shared" si="19"/>
        <v>-0.13200000000000017</v>
      </c>
      <c r="O72" s="4">
        <f t="shared" si="20"/>
        <v>91.763999999999982</v>
      </c>
      <c r="P72">
        <f t="shared" si="21"/>
        <v>81.568000000000055</v>
      </c>
      <c r="Q72">
        <f t="shared" si="22"/>
        <v>71.372000000000028</v>
      </c>
      <c r="R72">
        <f t="shared" si="23"/>
        <v>61.175999999999981</v>
      </c>
    </row>
    <row r="73" ht="14.25">
      <c r="A73">
        <v>453840</v>
      </c>
      <c r="B73">
        <v>-14.67</v>
      </c>
      <c r="C73">
        <v>102.58</v>
      </c>
      <c r="D73">
        <v>87</v>
      </c>
      <c r="E73">
        <v>38.299999999999997</v>
      </c>
      <c r="F73">
        <f t="shared" si="12"/>
        <v>7.5999999999999996</v>
      </c>
      <c r="G73">
        <f t="shared" si="13"/>
        <v>54.700000000000003</v>
      </c>
      <c r="H73">
        <v>37.5</v>
      </c>
      <c r="I73">
        <f t="shared" si="14"/>
        <v>24.100000000000001</v>
      </c>
      <c r="J73">
        <f t="shared" si="15"/>
        <v>-0.79999999999999716</v>
      </c>
      <c r="K73">
        <f t="shared" si="16"/>
        <v>-0.14399999999999949</v>
      </c>
      <c r="L73">
        <f t="shared" si="17"/>
        <v>-0.12799999999999956</v>
      </c>
      <c r="M73">
        <f t="shared" si="18"/>
        <v>-0.11199999999999961</v>
      </c>
      <c r="N73">
        <f t="shared" si="19"/>
        <v>-9.5999999999999655e-002</v>
      </c>
      <c r="O73" s="4">
        <f t="shared" si="20"/>
        <v>91.565999999999988</v>
      </c>
      <c r="P73">
        <f t="shared" si="21"/>
        <v>81.392000000000053</v>
      </c>
      <c r="Q73">
        <f t="shared" si="22"/>
        <v>71.218000000000032</v>
      </c>
      <c r="R73">
        <f t="shared" si="23"/>
        <v>61.043999999999983</v>
      </c>
    </row>
    <row r="74" ht="14.25">
      <c r="A74">
        <v>460143</v>
      </c>
      <c r="B74">
        <v>-23.329999999999998</v>
      </c>
      <c r="C74">
        <v>102.34999999999999</v>
      </c>
      <c r="D74">
        <v>79</v>
      </c>
      <c r="E74">
        <v>38.799999999999997</v>
      </c>
      <c r="F74">
        <f t="shared" ref="F74:F99" si="24">ROUND(A74/60000,1)</f>
        <v>7.7000000000000002</v>
      </c>
      <c r="G74">
        <f t="shared" ref="G74:G99" si="25">ROUND((D74/159)*100,1)</f>
        <v>49.700000000000003</v>
      </c>
      <c r="H74">
        <v>37.5</v>
      </c>
      <c r="I74">
        <f t="shared" ref="I74:I99" si="26">ROUND((D74/159)*44,1)</f>
        <v>21.899999999999999</v>
      </c>
      <c r="J74">
        <f t="shared" ref="J74:J99" si="27">37.5-E74</f>
        <v>-1.2999999999999972</v>
      </c>
      <c r="K74">
        <f t="shared" ref="K74:K99" si="28">J74*0.18</f>
        <v>-0.23399999999999949</v>
      </c>
      <c r="L74">
        <f t="shared" ref="L74:L99" si="29">J74*0.16</f>
        <v>-0.20799999999999955</v>
      </c>
      <c r="M74">
        <f t="shared" ref="M74:M99" si="30">J74*0.14</f>
        <v>-0.18199999999999961</v>
      </c>
      <c r="N74">
        <f t="shared" ref="N74:N99" si="31">J74*0.12</f>
        <v>-0.15599999999999967</v>
      </c>
      <c r="O74" s="4">
        <f t="shared" si="20"/>
        <v>91.421999999999983</v>
      </c>
      <c r="P74">
        <f t="shared" si="21"/>
        <v>81.264000000000053</v>
      </c>
      <c r="Q74">
        <f t="shared" si="22"/>
        <v>71.106000000000037</v>
      </c>
      <c r="R74">
        <f t="shared" si="23"/>
        <v>60.947999999999986</v>
      </c>
    </row>
    <row r="75" ht="14.25">
      <c r="A75">
        <v>466446</v>
      </c>
      <c r="B75">
        <v>-26.670000000000002</v>
      </c>
      <c r="C75">
        <v>102.08</v>
      </c>
      <c r="D75">
        <v>75</v>
      </c>
      <c r="E75">
        <v>38.899999999999999</v>
      </c>
      <c r="F75">
        <f t="shared" si="24"/>
        <v>7.7999999999999998</v>
      </c>
      <c r="G75">
        <f t="shared" si="25"/>
        <v>47.200000000000003</v>
      </c>
      <c r="H75">
        <v>37.5</v>
      </c>
      <c r="I75">
        <f t="shared" si="26"/>
        <v>20.800000000000001</v>
      </c>
      <c r="J75">
        <f t="shared" si="27"/>
        <v>-1.3999999999999986</v>
      </c>
      <c r="K75">
        <f t="shared" si="28"/>
        <v>-0.25199999999999972</v>
      </c>
      <c r="L75">
        <f t="shared" si="29"/>
        <v>-0.22399999999999978</v>
      </c>
      <c r="M75">
        <f t="shared" si="30"/>
        <v>-0.19599999999999981</v>
      </c>
      <c r="N75">
        <f t="shared" si="31"/>
        <v>-0.16799999999999982</v>
      </c>
      <c r="O75" s="4">
        <f t="shared" ref="O75:O100" si="32">O74+K74</f>
        <v>91.187999999999988</v>
      </c>
      <c r="P75">
        <f t="shared" ref="P75:P100" si="33">P74+L74</f>
        <v>81.056000000000054</v>
      </c>
      <c r="Q75">
        <f t="shared" ref="Q75:Q100" si="34">Q74+M74</f>
        <v>70.924000000000035</v>
      </c>
      <c r="R75">
        <f t="shared" ref="R75:R100" si="35">R74+N74</f>
        <v>60.791999999999987</v>
      </c>
    </row>
    <row r="76" ht="14.25">
      <c r="A76">
        <v>472750</v>
      </c>
      <c r="B76">
        <v>-30</v>
      </c>
      <c r="C76">
        <v>101.78</v>
      </c>
      <c r="D76">
        <v>71</v>
      </c>
      <c r="E76">
        <v>39.100000000000001</v>
      </c>
      <c r="F76">
        <f t="shared" si="24"/>
        <v>7.9000000000000004</v>
      </c>
      <c r="G76">
        <f t="shared" si="25"/>
        <v>44.700000000000003</v>
      </c>
      <c r="H76">
        <v>37.5</v>
      </c>
      <c r="I76">
        <f t="shared" si="26"/>
        <v>19.600000000000001</v>
      </c>
      <c r="J76">
        <f t="shared" si="27"/>
        <v>-1.6000000000000014</v>
      </c>
      <c r="K76">
        <f t="shared" si="28"/>
        <v>-0.28800000000000026</v>
      </c>
      <c r="L76">
        <f t="shared" si="29"/>
        <v>-0.25600000000000023</v>
      </c>
      <c r="M76">
        <f t="shared" si="30"/>
        <v>-0.22400000000000023</v>
      </c>
      <c r="N76">
        <f t="shared" si="31"/>
        <v>-0.19200000000000017</v>
      </c>
      <c r="O76" s="4">
        <f t="shared" si="32"/>
        <v>90.935999999999993</v>
      </c>
      <c r="P76">
        <f t="shared" si="33"/>
        <v>80.83200000000005</v>
      </c>
      <c r="Q76">
        <f t="shared" si="34"/>
        <v>70.728000000000037</v>
      </c>
      <c r="R76">
        <f t="shared" si="35"/>
        <v>60.623999999999988</v>
      </c>
    </row>
    <row r="77" ht="14.25">
      <c r="A77">
        <v>479052</v>
      </c>
      <c r="B77">
        <v>-30.670000000000002</v>
      </c>
      <c r="C77">
        <v>101.47</v>
      </c>
      <c r="D77">
        <v>70</v>
      </c>
      <c r="E77">
        <v>39.200000000000003</v>
      </c>
      <c r="F77">
        <f t="shared" si="24"/>
        <v>8</v>
      </c>
      <c r="G77">
        <f t="shared" si="25"/>
        <v>44</v>
      </c>
      <c r="H77">
        <v>37.5</v>
      </c>
      <c r="I77">
        <f t="shared" si="26"/>
        <v>19.399999999999999</v>
      </c>
      <c r="J77">
        <f t="shared" si="27"/>
        <v>-1.7000000000000028</v>
      </c>
      <c r="K77">
        <f t="shared" si="28"/>
        <v>-0.30600000000000049</v>
      </c>
      <c r="L77">
        <f t="shared" si="29"/>
        <v>-0.27200000000000046</v>
      </c>
      <c r="M77">
        <f t="shared" si="30"/>
        <v>-0.23800000000000043</v>
      </c>
      <c r="N77">
        <f t="shared" si="31"/>
        <v>-0.20400000000000032</v>
      </c>
      <c r="O77" s="4">
        <f t="shared" si="32"/>
        <v>90.647999999999996</v>
      </c>
      <c r="P77">
        <f t="shared" si="33"/>
        <v>80.57600000000005</v>
      </c>
      <c r="Q77">
        <f t="shared" si="34"/>
        <v>70.504000000000033</v>
      </c>
      <c r="R77">
        <f t="shared" si="35"/>
        <v>60.431999999999988</v>
      </c>
    </row>
    <row r="78" ht="14.25">
      <c r="A78">
        <v>485355</v>
      </c>
      <c r="B78">
        <v>-33.329999999999998</v>
      </c>
      <c r="C78">
        <v>101.14</v>
      </c>
      <c r="D78">
        <v>67</v>
      </c>
      <c r="E78">
        <v>39.100000000000001</v>
      </c>
      <c r="F78">
        <f t="shared" si="24"/>
        <v>8.0999999999999996</v>
      </c>
      <c r="G78">
        <f t="shared" si="25"/>
        <v>42.100000000000001</v>
      </c>
      <c r="H78">
        <v>37.5</v>
      </c>
      <c r="I78">
        <f t="shared" si="26"/>
        <v>18.5</v>
      </c>
      <c r="J78">
        <f t="shared" si="27"/>
        <v>-1.6000000000000014</v>
      </c>
      <c r="K78">
        <f t="shared" si="28"/>
        <v>-0.28800000000000026</v>
      </c>
      <c r="L78">
        <f t="shared" si="29"/>
        <v>-0.25600000000000023</v>
      </c>
      <c r="M78">
        <f t="shared" si="30"/>
        <v>-0.22400000000000023</v>
      </c>
      <c r="N78">
        <f t="shared" si="31"/>
        <v>-0.19200000000000017</v>
      </c>
      <c r="O78" s="4">
        <f t="shared" si="32"/>
        <v>90.341999999999999</v>
      </c>
      <c r="P78">
        <f t="shared" si="33"/>
        <v>80.304000000000045</v>
      </c>
      <c r="Q78">
        <f t="shared" si="34"/>
        <v>70.266000000000034</v>
      </c>
      <c r="R78">
        <f t="shared" si="35"/>
        <v>60.227999999999987</v>
      </c>
    </row>
    <row r="79" ht="14.25">
      <c r="A79">
        <v>491658</v>
      </c>
      <c r="B79">
        <v>-36</v>
      </c>
      <c r="C79">
        <v>100.78</v>
      </c>
      <c r="D79">
        <v>64</v>
      </c>
      <c r="E79">
        <v>39.5</v>
      </c>
      <c r="F79">
        <f t="shared" si="24"/>
        <v>8.1999999999999993</v>
      </c>
      <c r="G79">
        <f t="shared" si="25"/>
        <v>40.299999999999997</v>
      </c>
      <c r="H79">
        <v>37.5</v>
      </c>
      <c r="I79">
        <f t="shared" si="26"/>
        <v>17.699999999999999</v>
      </c>
      <c r="J79">
        <f t="shared" si="27"/>
        <v>-2</v>
      </c>
      <c r="K79">
        <f t="shared" si="28"/>
        <v>-0.35999999999999999</v>
      </c>
      <c r="L79">
        <f t="shared" si="29"/>
        <v>-0.32000000000000001</v>
      </c>
      <c r="M79">
        <f t="shared" si="30"/>
        <v>-0.28000000000000003</v>
      </c>
      <c r="N79">
        <f t="shared" si="31"/>
        <v>-0.23999999999999999</v>
      </c>
      <c r="O79" s="4">
        <f t="shared" si="32"/>
        <v>90.054000000000002</v>
      </c>
      <c r="P79">
        <f t="shared" si="33"/>
        <v>80.048000000000044</v>
      </c>
      <c r="Q79">
        <f t="shared" si="34"/>
        <v>70.04200000000003</v>
      </c>
      <c r="R79">
        <f t="shared" si="35"/>
        <v>60.035999999999987</v>
      </c>
    </row>
    <row r="80" ht="14.25">
      <c r="A80">
        <v>497961</v>
      </c>
      <c r="B80">
        <v>-39.329999999999998</v>
      </c>
      <c r="C80">
        <v>100.39</v>
      </c>
      <c r="D80">
        <v>61</v>
      </c>
      <c r="E80">
        <v>39.5</v>
      </c>
      <c r="F80">
        <f t="shared" si="24"/>
        <v>8.3000000000000007</v>
      </c>
      <c r="G80">
        <f t="shared" si="25"/>
        <v>38.399999999999999</v>
      </c>
      <c r="H80">
        <v>37.5</v>
      </c>
      <c r="I80">
        <f t="shared" si="26"/>
        <v>16.899999999999999</v>
      </c>
      <c r="J80">
        <f t="shared" si="27"/>
        <v>-2</v>
      </c>
      <c r="K80">
        <f t="shared" si="28"/>
        <v>-0.35999999999999999</v>
      </c>
      <c r="L80">
        <f t="shared" si="29"/>
        <v>-0.32000000000000001</v>
      </c>
      <c r="M80">
        <f t="shared" si="30"/>
        <v>-0.28000000000000003</v>
      </c>
      <c r="N80">
        <f t="shared" si="31"/>
        <v>-0.23999999999999999</v>
      </c>
      <c r="O80" s="4">
        <f t="shared" si="32"/>
        <v>89.694000000000003</v>
      </c>
      <c r="P80">
        <f t="shared" si="33"/>
        <v>79.728000000000051</v>
      </c>
      <c r="Q80">
        <f t="shared" si="34"/>
        <v>69.762000000000029</v>
      </c>
      <c r="R80">
        <f t="shared" si="35"/>
        <v>59.795999999999985</v>
      </c>
    </row>
    <row r="81" ht="14.25">
      <c r="A81">
        <v>504265</v>
      </c>
      <c r="B81">
        <v>-46</v>
      </c>
      <c r="C81">
        <v>99.930000000000007</v>
      </c>
      <c r="D81">
        <v>53</v>
      </c>
      <c r="E81">
        <v>39.899999999999999</v>
      </c>
      <c r="F81">
        <f t="shared" si="24"/>
        <v>8.4000000000000004</v>
      </c>
      <c r="G81">
        <f t="shared" si="25"/>
        <v>33.299999999999997</v>
      </c>
      <c r="H81">
        <v>37.5</v>
      </c>
      <c r="I81">
        <f t="shared" si="26"/>
        <v>14.699999999999999</v>
      </c>
      <c r="J81">
        <f t="shared" si="27"/>
        <v>-2.3999999999999986</v>
      </c>
      <c r="K81">
        <f t="shared" si="28"/>
        <v>-0.43199999999999972</v>
      </c>
      <c r="L81">
        <f t="shared" si="29"/>
        <v>-0.38399999999999979</v>
      </c>
      <c r="M81">
        <f t="shared" si="30"/>
        <v>-0.33599999999999985</v>
      </c>
      <c r="N81">
        <f t="shared" si="31"/>
        <v>-0.28799999999999981</v>
      </c>
      <c r="O81" s="4">
        <f t="shared" si="32"/>
        <v>89.334000000000003</v>
      </c>
      <c r="P81">
        <f t="shared" si="33"/>
        <v>79.408000000000058</v>
      </c>
      <c r="Q81">
        <f t="shared" si="34"/>
        <v>69.482000000000028</v>
      </c>
      <c r="R81">
        <f t="shared" si="35"/>
        <v>59.555999999999983</v>
      </c>
    </row>
    <row r="82" ht="14.25">
      <c r="A82">
        <v>510569</v>
      </c>
      <c r="B82">
        <v>-46</v>
      </c>
      <c r="C82">
        <v>99.469999999999999</v>
      </c>
      <c r="D82">
        <v>53</v>
      </c>
      <c r="E82">
        <v>39.899999999999999</v>
      </c>
      <c r="F82">
        <f t="shared" si="24"/>
        <v>8.5</v>
      </c>
      <c r="G82">
        <f t="shared" si="25"/>
        <v>33.299999999999997</v>
      </c>
      <c r="H82">
        <v>37.5</v>
      </c>
      <c r="I82">
        <f t="shared" si="26"/>
        <v>14.699999999999999</v>
      </c>
      <c r="J82">
        <f t="shared" si="27"/>
        <v>-2.3999999999999986</v>
      </c>
      <c r="K82">
        <f t="shared" si="28"/>
        <v>-0.43199999999999972</v>
      </c>
      <c r="L82">
        <f t="shared" si="29"/>
        <v>-0.38399999999999979</v>
      </c>
      <c r="M82">
        <f t="shared" si="30"/>
        <v>-0.33599999999999985</v>
      </c>
      <c r="N82">
        <f t="shared" si="31"/>
        <v>-0.28799999999999981</v>
      </c>
      <c r="O82" s="4">
        <f t="shared" si="32"/>
        <v>88.902000000000001</v>
      </c>
      <c r="P82">
        <f t="shared" si="33"/>
        <v>79.024000000000058</v>
      </c>
      <c r="Q82">
        <f t="shared" si="34"/>
        <v>69.146000000000029</v>
      </c>
      <c r="R82">
        <f t="shared" si="35"/>
        <v>59.267999999999986</v>
      </c>
    </row>
    <row r="83" ht="14.25">
      <c r="A83">
        <v>516873</v>
      </c>
      <c r="B83">
        <v>-49.329999999999998</v>
      </c>
      <c r="C83">
        <v>98.969999999999999</v>
      </c>
      <c r="D83">
        <v>49</v>
      </c>
      <c r="E83">
        <v>40.100000000000001</v>
      </c>
      <c r="F83">
        <f t="shared" si="24"/>
        <v>8.5999999999999996</v>
      </c>
      <c r="G83">
        <f t="shared" si="25"/>
        <v>30.800000000000001</v>
      </c>
      <c r="H83">
        <v>37.5</v>
      </c>
      <c r="I83">
        <f t="shared" si="26"/>
        <v>13.6</v>
      </c>
      <c r="J83">
        <f t="shared" si="27"/>
        <v>-2.6000000000000014</v>
      </c>
      <c r="K83">
        <f t="shared" si="28"/>
        <v>-0.46800000000000025</v>
      </c>
      <c r="L83">
        <f t="shared" si="29"/>
        <v>-0.41600000000000026</v>
      </c>
      <c r="M83">
        <f t="shared" si="30"/>
        <v>-0.36400000000000021</v>
      </c>
      <c r="N83">
        <f t="shared" si="31"/>
        <v>-0.31200000000000017</v>
      </c>
      <c r="O83" s="4">
        <f t="shared" si="32"/>
        <v>88.469999999999999</v>
      </c>
      <c r="P83">
        <f t="shared" si="33"/>
        <v>78.640000000000057</v>
      </c>
      <c r="Q83">
        <f t="shared" si="34"/>
        <v>68.810000000000031</v>
      </c>
      <c r="R83">
        <f t="shared" si="35"/>
        <v>58.97999999999999</v>
      </c>
    </row>
    <row r="84" ht="14.25">
      <c r="A84">
        <v>523176</v>
      </c>
      <c r="B84">
        <v>-54</v>
      </c>
      <c r="C84">
        <v>98.430000000000007</v>
      </c>
      <c r="D84">
        <v>44</v>
      </c>
      <c r="E84">
        <v>40.100000000000001</v>
      </c>
      <c r="F84">
        <f t="shared" si="24"/>
        <v>8.6999999999999993</v>
      </c>
      <c r="G84">
        <f t="shared" si="25"/>
        <v>27.699999999999999</v>
      </c>
      <c r="H84">
        <v>37.5</v>
      </c>
      <c r="I84">
        <f t="shared" si="26"/>
        <v>12.199999999999999</v>
      </c>
      <c r="J84">
        <f t="shared" si="27"/>
        <v>-2.6000000000000014</v>
      </c>
      <c r="K84">
        <f t="shared" si="28"/>
        <v>-0.46800000000000025</v>
      </c>
      <c r="L84">
        <f t="shared" si="29"/>
        <v>-0.41600000000000026</v>
      </c>
      <c r="M84">
        <f t="shared" si="30"/>
        <v>-0.36400000000000021</v>
      </c>
      <c r="N84">
        <f t="shared" si="31"/>
        <v>-0.31200000000000017</v>
      </c>
      <c r="O84" s="4">
        <f t="shared" si="32"/>
        <v>88.001999999999995</v>
      </c>
      <c r="P84">
        <f t="shared" si="33"/>
        <v>78.224000000000061</v>
      </c>
      <c r="Q84">
        <f t="shared" si="34"/>
        <v>68.446000000000026</v>
      </c>
      <c r="R84">
        <f t="shared" si="35"/>
        <v>58.667999999999992</v>
      </c>
    </row>
    <row r="85" ht="14.25">
      <c r="A85">
        <v>529479</v>
      </c>
      <c r="B85">
        <v>-54</v>
      </c>
      <c r="C85">
        <v>97.890000000000001</v>
      </c>
      <c r="D85">
        <v>43</v>
      </c>
      <c r="E85">
        <v>40.100000000000001</v>
      </c>
      <c r="F85">
        <f t="shared" si="24"/>
        <v>8.8000000000000007</v>
      </c>
      <c r="G85">
        <f t="shared" si="25"/>
        <v>27</v>
      </c>
      <c r="H85">
        <v>37.5</v>
      </c>
      <c r="I85">
        <f t="shared" si="26"/>
        <v>11.9</v>
      </c>
      <c r="J85">
        <f t="shared" si="27"/>
        <v>-2.6000000000000014</v>
      </c>
      <c r="K85">
        <f t="shared" si="28"/>
        <v>-0.46800000000000025</v>
      </c>
      <c r="L85">
        <f t="shared" si="29"/>
        <v>-0.41600000000000026</v>
      </c>
      <c r="M85">
        <f t="shared" si="30"/>
        <v>-0.36400000000000021</v>
      </c>
      <c r="N85">
        <f t="shared" si="31"/>
        <v>-0.31200000000000017</v>
      </c>
      <c r="O85" s="4">
        <f t="shared" si="32"/>
        <v>87.533999999999992</v>
      </c>
      <c r="P85">
        <f t="shared" si="33"/>
        <v>77.808000000000064</v>
      </c>
      <c r="Q85">
        <f t="shared" si="34"/>
        <v>68.082000000000022</v>
      </c>
      <c r="R85">
        <f t="shared" si="35"/>
        <v>58.355999999999995</v>
      </c>
    </row>
    <row r="86" ht="14.25">
      <c r="A86">
        <v>535782</v>
      </c>
      <c r="B86">
        <v>-56</v>
      </c>
      <c r="C86">
        <v>97.329999999999998</v>
      </c>
      <c r="D86">
        <v>41</v>
      </c>
      <c r="E86">
        <v>40.299999999999997</v>
      </c>
      <c r="F86">
        <f t="shared" si="24"/>
        <v>8.9000000000000004</v>
      </c>
      <c r="G86">
        <f t="shared" si="25"/>
        <v>25.800000000000001</v>
      </c>
      <c r="H86">
        <v>37.5</v>
      </c>
      <c r="I86">
        <f t="shared" si="26"/>
        <v>11.300000000000001</v>
      </c>
      <c r="J86">
        <f t="shared" si="27"/>
        <v>-2.7999999999999972</v>
      </c>
      <c r="K86">
        <f t="shared" si="28"/>
        <v>-0.50399999999999945</v>
      </c>
      <c r="L86">
        <f t="shared" si="29"/>
        <v>-0.44799999999999957</v>
      </c>
      <c r="M86">
        <f t="shared" si="30"/>
        <v>-0.39199999999999963</v>
      </c>
      <c r="N86">
        <f t="shared" si="31"/>
        <v>-0.33599999999999963</v>
      </c>
      <c r="O86" s="4">
        <f t="shared" si="32"/>
        <v>87.065999999999988</v>
      </c>
      <c r="P86">
        <f t="shared" si="33"/>
        <v>77.392000000000067</v>
      </c>
      <c r="Q86">
        <f t="shared" si="34"/>
        <v>67.718000000000018</v>
      </c>
      <c r="R86">
        <f t="shared" si="35"/>
        <v>58.043999999999997</v>
      </c>
    </row>
    <row r="87" ht="14.25">
      <c r="A87">
        <v>542086</v>
      </c>
      <c r="B87">
        <v>-57.329999999999998</v>
      </c>
      <c r="C87">
        <v>96.760000000000005</v>
      </c>
      <c r="D87">
        <v>39</v>
      </c>
      <c r="E87">
        <v>40.399999999999999</v>
      </c>
      <c r="F87">
        <f t="shared" si="24"/>
        <v>9</v>
      </c>
      <c r="G87">
        <f t="shared" si="25"/>
        <v>24.5</v>
      </c>
      <c r="H87">
        <v>37.5</v>
      </c>
      <c r="I87">
        <f t="shared" si="26"/>
        <v>10.800000000000001</v>
      </c>
      <c r="J87">
        <f t="shared" si="27"/>
        <v>-2.8999999999999986</v>
      </c>
      <c r="K87">
        <f t="shared" si="28"/>
        <v>-0.52199999999999969</v>
      </c>
      <c r="L87">
        <f t="shared" si="29"/>
        <v>-0.4639999999999998</v>
      </c>
      <c r="M87">
        <f t="shared" si="30"/>
        <v>-0.40599999999999986</v>
      </c>
      <c r="N87">
        <f t="shared" si="31"/>
        <v>-0.34799999999999981</v>
      </c>
      <c r="O87" s="4">
        <f t="shared" si="32"/>
        <v>86.561999999999983</v>
      </c>
      <c r="P87">
        <f t="shared" si="33"/>
        <v>76.944000000000074</v>
      </c>
      <c r="Q87">
        <f t="shared" si="34"/>
        <v>67.326000000000022</v>
      </c>
      <c r="R87">
        <f t="shared" si="35"/>
        <v>57.707999999999998</v>
      </c>
    </row>
    <row r="88" ht="14.25">
      <c r="A88">
        <v>548388</v>
      </c>
      <c r="B88">
        <v>-58.670000000000002</v>
      </c>
      <c r="C88">
        <v>96.170000000000002</v>
      </c>
      <c r="D88">
        <v>37</v>
      </c>
      <c r="E88">
        <v>40.5</v>
      </c>
      <c r="F88">
        <f t="shared" si="24"/>
        <v>9.0999999999999996</v>
      </c>
      <c r="G88">
        <f t="shared" si="25"/>
        <v>23.300000000000001</v>
      </c>
      <c r="H88">
        <v>37.5</v>
      </c>
      <c r="I88">
        <f t="shared" si="26"/>
        <v>10.199999999999999</v>
      </c>
      <c r="J88">
        <f t="shared" si="27"/>
        <v>-3</v>
      </c>
      <c r="K88">
        <f t="shared" si="28"/>
        <v>-0.54000000000000004</v>
      </c>
      <c r="L88">
        <f t="shared" si="29"/>
        <v>-0.47999999999999998</v>
      </c>
      <c r="M88">
        <f t="shared" si="30"/>
        <v>-0.42000000000000004</v>
      </c>
      <c r="N88">
        <f t="shared" si="31"/>
        <v>-0.35999999999999999</v>
      </c>
      <c r="O88" s="4">
        <f t="shared" si="32"/>
        <v>86.039999999999978</v>
      </c>
      <c r="P88">
        <f t="shared" si="33"/>
        <v>76.480000000000075</v>
      </c>
      <c r="Q88">
        <f t="shared" si="34"/>
        <v>66.920000000000016</v>
      </c>
      <c r="R88">
        <f t="shared" si="35"/>
        <v>57.359999999999999</v>
      </c>
    </row>
    <row r="89" ht="14.25">
      <c r="A89">
        <v>554691</v>
      </c>
      <c r="B89">
        <v>-60.670000000000002</v>
      </c>
      <c r="C89">
        <v>95.569999999999993</v>
      </c>
      <c r="D89">
        <v>34</v>
      </c>
      <c r="E89">
        <v>40.600000000000001</v>
      </c>
      <c r="F89">
        <f t="shared" si="24"/>
        <v>9.1999999999999993</v>
      </c>
      <c r="G89">
        <f t="shared" si="25"/>
        <v>21.399999999999999</v>
      </c>
      <c r="H89">
        <v>37.5</v>
      </c>
      <c r="I89">
        <f t="shared" si="26"/>
        <v>9.4000000000000004</v>
      </c>
      <c r="J89">
        <f t="shared" si="27"/>
        <v>-3.1000000000000014</v>
      </c>
      <c r="K89">
        <f t="shared" si="28"/>
        <v>-0.55800000000000027</v>
      </c>
      <c r="L89">
        <f t="shared" si="29"/>
        <v>-0.49600000000000022</v>
      </c>
      <c r="M89">
        <f t="shared" si="30"/>
        <v>-0.43400000000000022</v>
      </c>
      <c r="N89">
        <f t="shared" si="31"/>
        <v>-0.37200000000000016</v>
      </c>
      <c r="O89" s="4">
        <f t="shared" si="32"/>
        <v>85.499999999999972</v>
      </c>
      <c r="P89">
        <f t="shared" si="33"/>
        <v>76.000000000000071</v>
      </c>
      <c r="Q89">
        <f t="shared" si="34"/>
        <v>66.500000000000014</v>
      </c>
      <c r="R89">
        <f t="shared" si="35"/>
        <v>57</v>
      </c>
    </row>
    <row r="90" ht="14.25">
      <c r="A90">
        <v>560994</v>
      </c>
      <c r="B90">
        <v>-62</v>
      </c>
      <c r="C90">
        <v>94.950000000000003</v>
      </c>
      <c r="D90">
        <v>32</v>
      </c>
      <c r="E90">
        <v>40.799999999999997</v>
      </c>
      <c r="F90">
        <f t="shared" si="24"/>
        <v>9.3000000000000007</v>
      </c>
      <c r="G90">
        <f t="shared" si="25"/>
        <v>20.100000000000001</v>
      </c>
      <c r="H90">
        <v>37.5</v>
      </c>
      <c r="I90">
        <f t="shared" si="26"/>
        <v>8.9000000000000004</v>
      </c>
      <c r="J90">
        <f t="shared" si="27"/>
        <v>-3.2999999999999972</v>
      </c>
      <c r="K90">
        <f t="shared" si="28"/>
        <v>-0.59399999999999942</v>
      </c>
      <c r="L90">
        <f t="shared" si="29"/>
        <v>-0.52799999999999958</v>
      </c>
      <c r="M90">
        <f t="shared" si="30"/>
        <v>-0.46199999999999963</v>
      </c>
      <c r="N90">
        <f t="shared" si="31"/>
        <v>-0.39599999999999963</v>
      </c>
      <c r="O90" s="4">
        <f t="shared" si="32"/>
        <v>84.941999999999965</v>
      </c>
      <c r="P90">
        <f t="shared" si="33"/>
        <v>75.504000000000076</v>
      </c>
      <c r="Q90">
        <f t="shared" si="34"/>
        <v>66.066000000000017</v>
      </c>
      <c r="R90">
        <f t="shared" si="35"/>
        <v>56.628</v>
      </c>
    </row>
    <row r="91" ht="14.25">
      <c r="A91">
        <v>567298</v>
      </c>
      <c r="B91">
        <v>-64</v>
      </c>
      <c r="C91">
        <v>94.310000000000002</v>
      </c>
      <c r="D91">
        <v>30</v>
      </c>
      <c r="E91">
        <v>40.799999999999997</v>
      </c>
      <c r="F91">
        <f t="shared" si="24"/>
        <v>9.5</v>
      </c>
      <c r="G91">
        <f t="shared" si="25"/>
        <v>18.899999999999999</v>
      </c>
      <c r="H91">
        <v>37.5</v>
      </c>
      <c r="I91">
        <f t="shared" si="26"/>
        <v>8.3000000000000007</v>
      </c>
      <c r="J91">
        <f t="shared" si="27"/>
        <v>-3.2999999999999972</v>
      </c>
      <c r="K91">
        <f t="shared" si="28"/>
        <v>-0.59399999999999942</v>
      </c>
      <c r="L91">
        <f t="shared" si="29"/>
        <v>-0.52799999999999958</v>
      </c>
      <c r="M91">
        <f t="shared" si="30"/>
        <v>-0.46199999999999963</v>
      </c>
      <c r="N91">
        <f t="shared" si="31"/>
        <v>-0.39599999999999963</v>
      </c>
      <c r="O91" s="4">
        <f t="shared" si="32"/>
        <v>84.347999999999971</v>
      </c>
      <c r="P91">
        <f t="shared" si="33"/>
        <v>74.97600000000007</v>
      </c>
      <c r="Q91">
        <f t="shared" si="34"/>
        <v>65.604000000000013</v>
      </c>
      <c r="R91">
        <f t="shared" si="35"/>
        <v>56.231999999999999</v>
      </c>
    </row>
    <row r="92" ht="14.25">
      <c r="A92">
        <v>573600</v>
      </c>
      <c r="B92">
        <v>-62</v>
      </c>
      <c r="C92">
        <v>93.689999999999998</v>
      </c>
      <c r="D92">
        <v>31</v>
      </c>
      <c r="E92">
        <v>40.600000000000001</v>
      </c>
      <c r="F92">
        <f t="shared" si="24"/>
        <v>9.5999999999999996</v>
      </c>
      <c r="G92">
        <f t="shared" si="25"/>
        <v>19.5</v>
      </c>
      <c r="H92">
        <v>37.5</v>
      </c>
      <c r="I92">
        <f t="shared" si="26"/>
        <v>8.5999999999999996</v>
      </c>
      <c r="J92">
        <f t="shared" si="27"/>
        <v>-3.1000000000000014</v>
      </c>
      <c r="K92">
        <f t="shared" si="28"/>
        <v>-0.55800000000000027</v>
      </c>
      <c r="L92">
        <f t="shared" si="29"/>
        <v>-0.49600000000000022</v>
      </c>
      <c r="M92">
        <f t="shared" si="30"/>
        <v>-0.43400000000000022</v>
      </c>
      <c r="N92">
        <f t="shared" si="31"/>
        <v>-0.37200000000000016</v>
      </c>
      <c r="O92" s="4">
        <f t="shared" si="32"/>
        <v>83.753999999999976</v>
      </c>
      <c r="P92">
        <f t="shared" si="33"/>
        <v>74.448000000000064</v>
      </c>
      <c r="Q92">
        <f t="shared" si="34"/>
        <v>65.14200000000001</v>
      </c>
      <c r="R92">
        <f t="shared" si="35"/>
        <v>55.835999999999999</v>
      </c>
    </row>
    <row r="93" ht="14.25">
      <c r="A93">
        <v>579902</v>
      </c>
      <c r="B93">
        <v>-63.329999999999998</v>
      </c>
      <c r="C93">
        <v>93.049999999999997</v>
      </c>
      <c r="D93">
        <v>29</v>
      </c>
      <c r="E93">
        <v>40.600000000000001</v>
      </c>
      <c r="F93">
        <f t="shared" si="24"/>
        <v>9.6999999999999993</v>
      </c>
      <c r="G93">
        <f t="shared" si="25"/>
        <v>18.199999999999999</v>
      </c>
      <c r="H93">
        <v>37.5</v>
      </c>
      <c r="I93">
        <f t="shared" si="26"/>
        <v>8</v>
      </c>
      <c r="J93">
        <f t="shared" si="27"/>
        <v>-3.1000000000000014</v>
      </c>
      <c r="K93">
        <f t="shared" si="28"/>
        <v>-0.55800000000000027</v>
      </c>
      <c r="L93">
        <f t="shared" si="29"/>
        <v>-0.49600000000000022</v>
      </c>
      <c r="M93">
        <f t="shared" si="30"/>
        <v>-0.43400000000000022</v>
      </c>
      <c r="N93">
        <f t="shared" si="31"/>
        <v>-0.37200000000000016</v>
      </c>
      <c r="O93" s="4">
        <f t="shared" si="32"/>
        <v>83.19599999999997</v>
      </c>
      <c r="P93">
        <f t="shared" si="33"/>
        <v>73.952000000000069</v>
      </c>
      <c r="Q93">
        <f t="shared" si="34"/>
        <v>64.708000000000013</v>
      </c>
      <c r="R93">
        <f t="shared" si="35"/>
        <v>55.463999999999999</v>
      </c>
    </row>
    <row r="94" ht="14.25">
      <c r="A94">
        <v>586206</v>
      </c>
      <c r="B94">
        <v>-63.329999999999998</v>
      </c>
      <c r="C94">
        <v>92.420000000000002</v>
      </c>
      <c r="D94">
        <v>29</v>
      </c>
      <c r="E94">
        <v>40.600000000000001</v>
      </c>
      <c r="F94">
        <f t="shared" si="24"/>
        <v>9.8000000000000007</v>
      </c>
      <c r="G94">
        <f t="shared" si="25"/>
        <v>18.199999999999999</v>
      </c>
      <c r="H94">
        <v>37.5</v>
      </c>
      <c r="I94">
        <f t="shared" si="26"/>
        <v>8</v>
      </c>
      <c r="J94">
        <f t="shared" si="27"/>
        <v>-3.1000000000000014</v>
      </c>
      <c r="K94">
        <f t="shared" si="28"/>
        <v>-0.55800000000000027</v>
      </c>
      <c r="L94">
        <f t="shared" si="29"/>
        <v>-0.49600000000000022</v>
      </c>
      <c r="M94">
        <f t="shared" si="30"/>
        <v>-0.43400000000000022</v>
      </c>
      <c r="N94">
        <f t="shared" si="31"/>
        <v>-0.37200000000000016</v>
      </c>
      <c r="O94" s="4">
        <f t="shared" si="32"/>
        <v>82.637999999999963</v>
      </c>
      <c r="P94">
        <f t="shared" si="33"/>
        <v>73.456000000000074</v>
      </c>
      <c r="Q94">
        <f t="shared" si="34"/>
        <v>64.274000000000015</v>
      </c>
      <c r="R94">
        <f t="shared" si="35"/>
        <v>55.091999999999999</v>
      </c>
    </row>
    <row r="95" ht="14.25">
      <c r="A95">
        <v>592510</v>
      </c>
      <c r="B95">
        <v>-68</v>
      </c>
      <c r="C95">
        <v>91.739999999999995</v>
      </c>
      <c r="D95">
        <v>23</v>
      </c>
      <c r="E95">
        <v>41.200000000000003</v>
      </c>
      <c r="F95">
        <f t="shared" si="24"/>
        <v>9.9000000000000004</v>
      </c>
      <c r="G95">
        <f t="shared" si="25"/>
        <v>14.5</v>
      </c>
      <c r="H95">
        <v>37.5</v>
      </c>
      <c r="I95">
        <f t="shared" si="26"/>
        <v>6.4000000000000004</v>
      </c>
      <c r="J95">
        <f t="shared" si="27"/>
        <v>-3.7000000000000028</v>
      </c>
      <c r="K95">
        <f t="shared" si="28"/>
        <v>-0.66600000000000048</v>
      </c>
      <c r="L95">
        <f t="shared" si="29"/>
        <v>-0.59200000000000041</v>
      </c>
      <c r="M95">
        <f t="shared" si="30"/>
        <v>-0.51800000000000046</v>
      </c>
      <c r="N95">
        <f t="shared" si="31"/>
        <v>-0.44400000000000034</v>
      </c>
      <c r="O95" s="4">
        <f t="shared" si="32"/>
        <v>82.079999999999956</v>
      </c>
      <c r="P95">
        <f t="shared" si="33"/>
        <v>72.960000000000079</v>
      </c>
      <c r="Q95">
        <f t="shared" si="34"/>
        <v>63.840000000000018</v>
      </c>
      <c r="R95">
        <f t="shared" si="35"/>
        <v>54.719999999999999</v>
      </c>
    </row>
    <row r="96" ht="14.25">
      <c r="A96">
        <v>598813</v>
      </c>
      <c r="B96">
        <v>-64.670000000000002</v>
      </c>
      <c r="C96">
        <v>91.090000000000003</v>
      </c>
      <c r="D96">
        <v>26</v>
      </c>
      <c r="E96">
        <v>40.700000000000003</v>
      </c>
      <c r="F96">
        <f t="shared" si="24"/>
        <v>10</v>
      </c>
      <c r="G96">
        <f t="shared" si="25"/>
        <v>16.399999999999999</v>
      </c>
      <c r="H96">
        <v>37.5</v>
      </c>
      <c r="I96">
        <f t="shared" si="26"/>
        <v>7.2000000000000002</v>
      </c>
      <c r="J96">
        <f t="shared" si="27"/>
        <v>-3.2000000000000028</v>
      </c>
      <c r="K96">
        <f t="shared" si="28"/>
        <v>-0.57600000000000051</v>
      </c>
      <c r="L96">
        <f t="shared" si="29"/>
        <v>-0.51200000000000045</v>
      </c>
      <c r="M96">
        <f t="shared" si="30"/>
        <v>-0.44800000000000045</v>
      </c>
      <c r="N96">
        <f t="shared" si="31"/>
        <v>-0.38400000000000034</v>
      </c>
      <c r="O96" s="4">
        <f t="shared" si="32"/>
        <v>81.413999999999959</v>
      </c>
      <c r="P96">
        <f t="shared" si="33"/>
        <v>72.36800000000008</v>
      </c>
      <c r="Q96">
        <f t="shared" si="34"/>
        <v>63.322000000000017</v>
      </c>
      <c r="R96">
        <f t="shared" si="35"/>
        <v>54.275999999999996</v>
      </c>
    </row>
    <row r="97" ht="14.25">
      <c r="A97">
        <v>605117</v>
      </c>
      <c r="B97">
        <v>-64.670000000000002</v>
      </c>
      <c r="C97">
        <v>90.450000000000003</v>
      </c>
      <c r="D97">
        <v>25</v>
      </c>
      <c r="E97">
        <v>40.799999999999997</v>
      </c>
      <c r="F97">
        <f t="shared" si="24"/>
        <v>10.1</v>
      </c>
      <c r="G97">
        <f t="shared" si="25"/>
        <v>15.699999999999999</v>
      </c>
      <c r="H97">
        <v>37.5</v>
      </c>
      <c r="I97">
        <f t="shared" si="26"/>
        <v>6.9000000000000004</v>
      </c>
      <c r="J97">
        <f t="shared" si="27"/>
        <v>-3.2999999999999972</v>
      </c>
      <c r="K97">
        <f t="shared" si="28"/>
        <v>-0.59399999999999942</v>
      </c>
      <c r="L97">
        <f t="shared" si="29"/>
        <v>-0.52799999999999958</v>
      </c>
      <c r="M97">
        <f t="shared" si="30"/>
        <v>-0.46199999999999963</v>
      </c>
      <c r="N97">
        <f t="shared" si="31"/>
        <v>-0.39599999999999963</v>
      </c>
      <c r="O97" s="4">
        <f t="shared" si="32"/>
        <v>80.837999999999965</v>
      </c>
      <c r="P97">
        <f t="shared" si="33"/>
        <v>71.85600000000008</v>
      </c>
      <c r="Q97">
        <f t="shared" si="34"/>
        <v>62.874000000000017</v>
      </c>
      <c r="R97">
        <f t="shared" si="35"/>
        <v>53.891999999999996</v>
      </c>
    </row>
    <row r="98" ht="14.25">
      <c r="A98">
        <v>611421</v>
      </c>
      <c r="B98">
        <v>-66</v>
      </c>
      <c r="C98">
        <v>89.790000000000006</v>
      </c>
      <c r="D98">
        <v>23</v>
      </c>
      <c r="E98">
        <v>40.799999999999997</v>
      </c>
      <c r="F98">
        <f t="shared" si="24"/>
        <v>10.199999999999999</v>
      </c>
      <c r="G98">
        <f t="shared" si="25"/>
        <v>14.5</v>
      </c>
      <c r="H98">
        <v>37.5</v>
      </c>
      <c r="I98">
        <f t="shared" si="26"/>
        <v>6.4000000000000004</v>
      </c>
      <c r="J98">
        <f t="shared" si="27"/>
        <v>-3.2999999999999972</v>
      </c>
      <c r="K98">
        <f t="shared" si="28"/>
        <v>-0.59399999999999942</v>
      </c>
      <c r="L98">
        <f t="shared" si="29"/>
        <v>-0.52799999999999958</v>
      </c>
      <c r="M98">
        <f t="shared" si="30"/>
        <v>-0.46199999999999963</v>
      </c>
      <c r="N98">
        <f t="shared" si="31"/>
        <v>-0.39599999999999963</v>
      </c>
      <c r="O98" s="4">
        <f t="shared" si="32"/>
        <v>80.243999999999971</v>
      </c>
      <c r="P98">
        <f t="shared" si="33"/>
        <v>71.328000000000074</v>
      </c>
      <c r="Q98">
        <f t="shared" si="34"/>
        <v>62.41200000000002</v>
      </c>
      <c r="R98">
        <f t="shared" si="35"/>
        <v>53.495999999999995</v>
      </c>
    </row>
    <row r="99" ht="14.25">
      <c r="A99">
        <v>617724</v>
      </c>
      <c r="B99">
        <v>-63.329999999999998</v>
      </c>
      <c r="C99">
        <v>89.150000000000006</v>
      </c>
      <c r="D99">
        <v>25</v>
      </c>
      <c r="E99">
        <v>40.5</v>
      </c>
      <c r="F99">
        <f t="shared" si="24"/>
        <v>10.300000000000001</v>
      </c>
      <c r="G99">
        <f t="shared" si="25"/>
        <v>15.699999999999999</v>
      </c>
      <c r="H99">
        <v>37.5</v>
      </c>
      <c r="I99">
        <f t="shared" si="26"/>
        <v>6.9000000000000004</v>
      </c>
      <c r="J99">
        <f t="shared" si="27"/>
        <v>-3</v>
      </c>
      <c r="K99">
        <f t="shared" si="28"/>
        <v>-0.54000000000000004</v>
      </c>
      <c r="L99">
        <f t="shared" si="29"/>
        <v>-0.47999999999999998</v>
      </c>
      <c r="M99">
        <f t="shared" si="30"/>
        <v>-0.42000000000000004</v>
      </c>
      <c r="N99">
        <f t="shared" si="31"/>
        <v>-0.35999999999999999</v>
      </c>
      <c r="O99" s="4">
        <f t="shared" si="32"/>
        <v>79.649999999999977</v>
      </c>
      <c r="P99">
        <f t="shared" si="33"/>
        <v>70.800000000000068</v>
      </c>
      <c r="Q99">
        <f t="shared" si="34"/>
        <v>61.950000000000024</v>
      </c>
      <c r="R99">
        <f t="shared" si="35"/>
        <v>53.099999999999994</v>
      </c>
    </row>
    <row r="100" ht="14.25">
      <c r="A100">
        <v>624027</v>
      </c>
      <c r="B100">
        <v>-65.329999999999998</v>
      </c>
      <c r="C100">
        <v>88.5</v>
      </c>
      <c r="D100">
        <v>23</v>
      </c>
      <c r="E100">
        <v>40.799999999999997</v>
      </c>
      <c r="F100">
        <f t="shared" ref="F100:F163" si="36">ROUND(A100/60000,1)</f>
        <v>10.4</v>
      </c>
      <c r="G100">
        <f t="shared" ref="G100:G163" si="37">ROUND((D100/159)*100,1)</f>
        <v>14.5</v>
      </c>
      <c r="H100">
        <v>37.5</v>
      </c>
      <c r="I100">
        <f t="shared" ref="I100:I163" si="38">ROUND((D100/159)*44,1)</f>
        <v>6.4000000000000004</v>
      </c>
      <c r="J100">
        <f t="shared" ref="J100:J163" si="39">37.5-E100</f>
        <v>-3.2999999999999972</v>
      </c>
      <c r="K100">
        <f t="shared" ref="K100:K163" si="40">J100*0.18</f>
        <v>-0.59399999999999942</v>
      </c>
      <c r="L100">
        <f t="shared" ref="L100:L163" si="41">J100*0.16</f>
        <v>-0.52799999999999958</v>
      </c>
      <c r="M100">
        <f t="shared" ref="M100:M163" si="42">J100*0.14</f>
        <v>-0.46199999999999963</v>
      </c>
      <c r="N100">
        <f t="shared" ref="N100:N163" si="43">J100*0.12</f>
        <v>-0.39599999999999963</v>
      </c>
      <c r="O100" s="4">
        <f t="shared" si="32"/>
        <v>79.109999999999971</v>
      </c>
      <c r="P100">
        <f t="shared" si="33"/>
        <v>70.320000000000064</v>
      </c>
      <c r="Q100">
        <f t="shared" si="34"/>
        <v>61.530000000000022</v>
      </c>
      <c r="R100">
        <f t="shared" si="35"/>
        <v>52.739999999999995</v>
      </c>
    </row>
    <row r="101" ht="14.25">
      <c r="A101">
        <v>630330</v>
      </c>
      <c r="B101">
        <v>-64.670000000000002</v>
      </c>
      <c r="C101">
        <v>87.849999999999994</v>
      </c>
      <c r="D101">
        <v>23</v>
      </c>
      <c r="E101">
        <v>40.600000000000001</v>
      </c>
      <c r="F101">
        <f t="shared" si="36"/>
        <v>10.5</v>
      </c>
      <c r="G101">
        <f t="shared" si="37"/>
        <v>14.5</v>
      </c>
      <c r="H101">
        <v>37.5</v>
      </c>
      <c r="I101">
        <f t="shared" si="38"/>
        <v>6.4000000000000004</v>
      </c>
      <c r="J101">
        <f t="shared" si="39"/>
        <v>-3.1000000000000014</v>
      </c>
      <c r="K101">
        <f t="shared" si="40"/>
        <v>-0.55800000000000027</v>
      </c>
      <c r="L101">
        <f t="shared" si="41"/>
        <v>-0.49600000000000022</v>
      </c>
      <c r="M101">
        <f t="shared" si="42"/>
        <v>-0.43400000000000022</v>
      </c>
      <c r="N101">
        <f t="shared" si="43"/>
        <v>-0.37200000000000016</v>
      </c>
      <c r="O101" s="4">
        <f t="shared" ref="O101:O164" si="44">O100+K100</f>
        <v>78.515999999999977</v>
      </c>
      <c r="P101">
        <f t="shared" ref="P101:P164" si="45">P100+L100</f>
        <v>69.792000000000058</v>
      </c>
      <c r="Q101">
        <f t="shared" ref="Q101:Q164" si="46">Q100+M100</f>
        <v>61.068000000000026</v>
      </c>
      <c r="R101">
        <f t="shared" ref="R101:R164" si="47">R100+N100</f>
        <v>52.343999999999994</v>
      </c>
    </row>
    <row r="102" ht="14.25">
      <c r="A102">
        <v>636633</v>
      </c>
      <c r="B102">
        <v>-61.329999999999998</v>
      </c>
      <c r="C102">
        <v>87.239999999999995</v>
      </c>
      <c r="D102">
        <v>25</v>
      </c>
      <c r="E102">
        <v>40.5</v>
      </c>
      <c r="F102">
        <f t="shared" si="36"/>
        <v>10.6</v>
      </c>
      <c r="G102">
        <f t="shared" si="37"/>
        <v>15.699999999999999</v>
      </c>
      <c r="H102">
        <v>37.5</v>
      </c>
      <c r="I102">
        <f t="shared" si="38"/>
        <v>6.9000000000000004</v>
      </c>
      <c r="J102">
        <f t="shared" si="39"/>
        <v>-3</v>
      </c>
      <c r="K102">
        <f t="shared" si="40"/>
        <v>-0.54000000000000004</v>
      </c>
      <c r="L102">
        <f t="shared" si="41"/>
        <v>-0.47999999999999998</v>
      </c>
      <c r="M102">
        <f t="shared" si="42"/>
        <v>-0.42000000000000004</v>
      </c>
      <c r="N102">
        <f t="shared" si="43"/>
        <v>-0.35999999999999999</v>
      </c>
      <c r="O102" s="4">
        <f t="shared" si="44"/>
        <v>77.95799999999997</v>
      </c>
      <c r="P102">
        <f t="shared" si="45"/>
        <v>69.296000000000063</v>
      </c>
      <c r="Q102">
        <f t="shared" si="46"/>
        <v>60.634000000000029</v>
      </c>
      <c r="R102">
        <f t="shared" si="47"/>
        <v>51.971999999999994</v>
      </c>
    </row>
    <row r="103" ht="14.25">
      <c r="A103">
        <v>642936</v>
      </c>
      <c r="B103">
        <v>-60.670000000000002</v>
      </c>
      <c r="C103">
        <v>86.629999999999995</v>
      </c>
      <c r="D103">
        <v>25</v>
      </c>
      <c r="E103">
        <v>40.600000000000001</v>
      </c>
      <c r="F103">
        <f t="shared" si="36"/>
        <v>10.699999999999999</v>
      </c>
      <c r="G103">
        <f t="shared" si="37"/>
        <v>15.699999999999999</v>
      </c>
      <c r="H103">
        <v>37.5</v>
      </c>
      <c r="I103">
        <f t="shared" si="38"/>
        <v>6.9000000000000004</v>
      </c>
      <c r="J103">
        <f t="shared" si="39"/>
        <v>-3.1000000000000014</v>
      </c>
      <c r="K103">
        <f t="shared" si="40"/>
        <v>-0.55800000000000027</v>
      </c>
      <c r="L103">
        <f t="shared" si="41"/>
        <v>-0.49600000000000022</v>
      </c>
      <c r="M103">
        <f t="shared" si="42"/>
        <v>-0.43400000000000022</v>
      </c>
      <c r="N103">
        <f t="shared" si="43"/>
        <v>-0.37200000000000016</v>
      </c>
      <c r="O103" s="4">
        <f t="shared" si="44"/>
        <v>77.417999999999964</v>
      </c>
      <c r="P103">
        <f t="shared" si="45"/>
        <v>68.816000000000059</v>
      </c>
      <c r="Q103">
        <f t="shared" si="46"/>
        <v>60.214000000000027</v>
      </c>
      <c r="R103">
        <f t="shared" si="47"/>
        <v>51.611999999999995</v>
      </c>
    </row>
    <row r="104" ht="14.25">
      <c r="A104">
        <v>649238</v>
      </c>
      <c r="B104">
        <v>-63.329999999999998</v>
      </c>
      <c r="C104">
        <v>86</v>
      </c>
      <c r="D104">
        <v>22</v>
      </c>
      <c r="E104">
        <v>40.799999999999997</v>
      </c>
      <c r="F104">
        <f t="shared" si="36"/>
        <v>10.800000000000001</v>
      </c>
      <c r="G104">
        <f t="shared" si="37"/>
        <v>13.800000000000001</v>
      </c>
      <c r="H104">
        <v>37.5</v>
      </c>
      <c r="I104">
        <f t="shared" si="38"/>
        <v>6.0999999999999996</v>
      </c>
      <c r="J104">
        <f t="shared" si="39"/>
        <v>-3.2999999999999972</v>
      </c>
      <c r="K104">
        <f t="shared" si="40"/>
        <v>-0.59399999999999942</v>
      </c>
      <c r="L104">
        <f t="shared" si="41"/>
        <v>-0.52799999999999958</v>
      </c>
      <c r="M104">
        <f t="shared" si="42"/>
        <v>-0.46199999999999963</v>
      </c>
      <c r="N104">
        <f t="shared" si="43"/>
        <v>-0.39599999999999963</v>
      </c>
      <c r="O104" s="4">
        <f t="shared" si="44"/>
        <v>76.859999999999957</v>
      </c>
      <c r="P104">
        <f t="shared" si="45"/>
        <v>68.320000000000064</v>
      </c>
      <c r="Q104">
        <f t="shared" si="46"/>
        <v>59.78000000000003</v>
      </c>
      <c r="R104">
        <f t="shared" si="47"/>
        <v>51.239999999999995</v>
      </c>
    </row>
    <row r="105" ht="14.25">
      <c r="A105">
        <v>655542</v>
      </c>
      <c r="B105">
        <v>-63.329999999999998</v>
      </c>
      <c r="C105">
        <v>85.370000000000005</v>
      </c>
      <c r="D105">
        <v>22</v>
      </c>
      <c r="E105">
        <v>40.700000000000003</v>
      </c>
      <c r="F105">
        <f t="shared" si="36"/>
        <v>10.9</v>
      </c>
      <c r="G105">
        <f t="shared" si="37"/>
        <v>13.800000000000001</v>
      </c>
      <c r="H105">
        <v>37.5</v>
      </c>
      <c r="I105">
        <f t="shared" si="38"/>
        <v>6.0999999999999996</v>
      </c>
      <c r="J105">
        <f t="shared" si="39"/>
        <v>-3.2000000000000028</v>
      </c>
      <c r="K105">
        <f t="shared" si="40"/>
        <v>-0.57600000000000051</v>
      </c>
      <c r="L105">
        <f t="shared" si="41"/>
        <v>-0.51200000000000045</v>
      </c>
      <c r="M105">
        <f t="shared" si="42"/>
        <v>-0.44800000000000045</v>
      </c>
      <c r="N105">
        <f t="shared" si="43"/>
        <v>-0.38400000000000034</v>
      </c>
      <c r="O105" s="4">
        <f t="shared" si="44"/>
        <v>76.265999999999963</v>
      </c>
      <c r="P105">
        <f t="shared" si="45"/>
        <v>67.792000000000058</v>
      </c>
      <c r="Q105">
        <f t="shared" si="46"/>
        <v>59.318000000000033</v>
      </c>
      <c r="R105">
        <f t="shared" si="47"/>
        <v>50.843999999999994</v>
      </c>
    </row>
    <row r="106" ht="14.25">
      <c r="A106">
        <v>661844</v>
      </c>
      <c r="B106">
        <v>-62</v>
      </c>
      <c r="C106">
        <v>84.75</v>
      </c>
      <c r="D106">
        <v>22</v>
      </c>
      <c r="E106">
        <v>40.799999999999997</v>
      </c>
      <c r="F106">
        <f t="shared" si="36"/>
        <v>11</v>
      </c>
      <c r="G106">
        <f t="shared" si="37"/>
        <v>13.800000000000001</v>
      </c>
      <c r="H106">
        <v>37.5</v>
      </c>
      <c r="I106">
        <f t="shared" si="38"/>
        <v>6.0999999999999996</v>
      </c>
      <c r="J106">
        <f t="shared" si="39"/>
        <v>-3.2999999999999972</v>
      </c>
      <c r="K106">
        <f t="shared" si="40"/>
        <v>-0.59399999999999942</v>
      </c>
      <c r="L106">
        <f t="shared" si="41"/>
        <v>-0.52799999999999958</v>
      </c>
      <c r="M106">
        <f t="shared" si="42"/>
        <v>-0.46199999999999963</v>
      </c>
      <c r="N106">
        <f t="shared" si="43"/>
        <v>-0.39599999999999963</v>
      </c>
      <c r="O106" s="4">
        <f t="shared" si="44"/>
        <v>75.689999999999969</v>
      </c>
      <c r="P106">
        <f t="shared" si="45"/>
        <v>67.280000000000058</v>
      </c>
      <c r="Q106">
        <f t="shared" si="46"/>
        <v>58.870000000000033</v>
      </c>
      <c r="R106">
        <f t="shared" si="47"/>
        <v>50.459999999999994</v>
      </c>
    </row>
    <row r="107" ht="14.25">
      <c r="A107">
        <v>668148</v>
      </c>
      <c r="B107">
        <v>-61.329999999999998</v>
      </c>
      <c r="C107">
        <v>84.129999999999995</v>
      </c>
      <c r="D107">
        <v>22</v>
      </c>
      <c r="E107">
        <v>40.600000000000001</v>
      </c>
      <c r="F107">
        <f t="shared" si="36"/>
        <v>11.1</v>
      </c>
      <c r="G107">
        <f t="shared" si="37"/>
        <v>13.800000000000001</v>
      </c>
      <c r="H107">
        <v>37.5</v>
      </c>
      <c r="I107">
        <f t="shared" si="38"/>
        <v>6.0999999999999996</v>
      </c>
      <c r="J107">
        <f t="shared" si="39"/>
        <v>-3.1000000000000014</v>
      </c>
      <c r="K107">
        <f t="shared" si="40"/>
        <v>-0.55800000000000027</v>
      </c>
      <c r="L107">
        <f t="shared" si="41"/>
        <v>-0.49600000000000022</v>
      </c>
      <c r="M107">
        <f t="shared" si="42"/>
        <v>-0.43400000000000022</v>
      </c>
      <c r="N107">
        <f t="shared" si="43"/>
        <v>-0.37200000000000016</v>
      </c>
      <c r="O107" s="4">
        <f t="shared" si="44"/>
        <v>75.095999999999975</v>
      </c>
      <c r="P107">
        <f t="shared" si="45"/>
        <v>66.752000000000052</v>
      </c>
      <c r="Q107">
        <f t="shared" si="46"/>
        <v>58.408000000000037</v>
      </c>
      <c r="R107">
        <f t="shared" si="47"/>
        <v>50.063999999999993</v>
      </c>
    </row>
    <row r="108" ht="14.25">
      <c r="A108">
        <v>674452</v>
      </c>
      <c r="B108">
        <v>-59.329999999999998</v>
      </c>
      <c r="C108">
        <v>83.540000000000006</v>
      </c>
      <c r="D108">
        <v>24</v>
      </c>
      <c r="E108">
        <v>40.5</v>
      </c>
      <c r="F108">
        <f t="shared" si="36"/>
        <v>11.199999999999999</v>
      </c>
      <c r="G108">
        <f t="shared" si="37"/>
        <v>15.1</v>
      </c>
      <c r="H108">
        <v>37.5</v>
      </c>
      <c r="I108">
        <f t="shared" si="38"/>
        <v>6.5999999999999996</v>
      </c>
      <c r="J108">
        <f t="shared" si="39"/>
        <v>-3</v>
      </c>
      <c r="K108">
        <f t="shared" si="40"/>
        <v>-0.54000000000000004</v>
      </c>
      <c r="L108">
        <f t="shared" si="41"/>
        <v>-0.47999999999999998</v>
      </c>
      <c r="M108">
        <f t="shared" si="42"/>
        <v>-0.42000000000000004</v>
      </c>
      <c r="N108">
        <f t="shared" si="43"/>
        <v>-0.35999999999999999</v>
      </c>
      <c r="O108" s="4">
        <f t="shared" si="44"/>
        <v>74.537999999999968</v>
      </c>
      <c r="P108">
        <f t="shared" si="45"/>
        <v>66.256000000000057</v>
      </c>
      <c r="Q108">
        <f t="shared" si="46"/>
        <v>57.974000000000039</v>
      </c>
      <c r="R108">
        <f t="shared" si="47"/>
        <v>49.691999999999993</v>
      </c>
    </row>
    <row r="109" ht="14.25">
      <c r="A109">
        <v>680755</v>
      </c>
      <c r="B109">
        <v>-58</v>
      </c>
      <c r="C109">
        <v>82.959999999999994</v>
      </c>
      <c r="D109">
        <v>24</v>
      </c>
      <c r="E109">
        <v>40.399999999999999</v>
      </c>
      <c r="F109">
        <f t="shared" si="36"/>
        <v>11.300000000000001</v>
      </c>
      <c r="G109">
        <f t="shared" si="37"/>
        <v>15.1</v>
      </c>
      <c r="H109">
        <v>37.5</v>
      </c>
      <c r="I109">
        <f t="shared" si="38"/>
        <v>6.5999999999999996</v>
      </c>
      <c r="J109">
        <f t="shared" si="39"/>
        <v>-2.8999999999999986</v>
      </c>
      <c r="K109">
        <f t="shared" si="40"/>
        <v>-0.52199999999999969</v>
      </c>
      <c r="L109">
        <f t="shared" si="41"/>
        <v>-0.4639999999999998</v>
      </c>
      <c r="M109">
        <f t="shared" si="42"/>
        <v>-0.40599999999999986</v>
      </c>
      <c r="N109">
        <f t="shared" si="43"/>
        <v>-0.34799999999999981</v>
      </c>
      <c r="O109" s="4">
        <f t="shared" si="44"/>
        <v>73.997999999999962</v>
      </c>
      <c r="P109">
        <f t="shared" si="45"/>
        <v>65.776000000000053</v>
      </c>
      <c r="Q109">
        <f t="shared" si="46"/>
        <v>57.554000000000038</v>
      </c>
      <c r="R109">
        <f t="shared" si="47"/>
        <v>49.331999999999994</v>
      </c>
    </row>
    <row r="110" ht="14.25">
      <c r="A110">
        <v>687058</v>
      </c>
      <c r="B110">
        <v>-56</v>
      </c>
      <c r="C110">
        <v>82.400000000000006</v>
      </c>
      <c r="D110">
        <v>26</v>
      </c>
      <c r="E110">
        <v>40.399999999999999</v>
      </c>
      <c r="F110">
        <f t="shared" si="36"/>
        <v>11.5</v>
      </c>
      <c r="G110">
        <f t="shared" si="37"/>
        <v>16.399999999999999</v>
      </c>
      <c r="H110">
        <v>37.5</v>
      </c>
      <c r="I110">
        <f t="shared" si="38"/>
        <v>7.2000000000000002</v>
      </c>
      <c r="J110">
        <f t="shared" si="39"/>
        <v>-2.8999999999999986</v>
      </c>
      <c r="K110">
        <f t="shared" si="40"/>
        <v>-0.52199999999999969</v>
      </c>
      <c r="L110">
        <f t="shared" si="41"/>
        <v>-0.4639999999999998</v>
      </c>
      <c r="M110">
        <f t="shared" si="42"/>
        <v>-0.40599999999999986</v>
      </c>
      <c r="N110">
        <f t="shared" si="43"/>
        <v>-0.34799999999999981</v>
      </c>
      <c r="O110" s="4">
        <f t="shared" si="44"/>
        <v>73.475999999999956</v>
      </c>
      <c r="P110">
        <f t="shared" si="45"/>
        <v>65.312000000000054</v>
      </c>
      <c r="Q110">
        <f t="shared" si="46"/>
        <v>57.148000000000039</v>
      </c>
      <c r="R110">
        <f t="shared" si="47"/>
        <v>48.983999999999995</v>
      </c>
    </row>
    <row r="111" ht="14.25">
      <c r="A111">
        <v>693362</v>
      </c>
      <c r="B111">
        <v>-62</v>
      </c>
      <c r="C111">
        <v>81.780000000000001</v>
      </c>
      <c r="D111">
        <v>19</v>
      </c>
      <c r="E111">
        <v>40.5</v>
      </c>
      <c r="F111">
        <f t="shared" si="36"/>
        <v>11.6</v>
      </c>
      <c r="G111">
        <f t="shared" si="37"/>
        <v>11.9</v>
      </c>
      <c r="H111">
        <v>37.5</v>
      </c>
      <c r="I111">
        <f t="shared" si="38"/>
        <v>5.2999999999999998</v>
      </c>
      <c r="J111">
        <f t="shared" si="39"/>
        <v>-3</v>
      </c>
      <c r="K111">
        <f t="shared" si="40"/>
        <v>-0.54000000000000004</v>
      </c>
      <c r="L111">
        <f t="shared" si="41"/>
        <v>-0.47999999999999998</v>
      </c>
      <c r="M111">
        <f t="shared" si="42"/>
        <v>-0.42000000000000004</v>
      </c>
      <c r="N111">
        <f t="shared" si="43"/>
        <v>-0.35999999999999999</v>
      </c>
      <c r="O111" s="4">
        <f t="shared" si="44"/>
        <v>72.953999999999951</v>
      </c>
      <c r="P111">
        <f t="shared" si="45"/>
        <v>64.848000000000056</v>
      </c>
      <c r="Q111">
        <f t="shared" si="46"/>
        <v>56.74200000000004</v>
      </c>
      <c r="R111">
        <f t="shared" si="47"/>
        <v>48.635999999999996</v>
      </c>
    </row>
    <row r="112" ht="14.25">
      <c r="A112">
        <v>699666</v>
      </c>
      <c r="B112">
        <v>-54.670000000000002</v>
      </c>
      <c r="C112">
        <v>81.230000000000004</v>
      </c>
      <c r="D112">
        <v>26</v>
      </c>
      <c r="E112">
        <v>40.100000000000001</v>
      </c>
      <c r="F112">
        <f t="shared" si="36"/>
        <v>11.699999999999999</v>
      </c>
      <c r="G112">
        <f t="shared" si="37"/>
        <v>16.399999999999999</v>
      </c>
      <c r="H112">
        <v>37.5</v>
      </c>
      <c r="I112">
        <f t="shared" si="38"/>
        <v>7.2000000000000002</v>
      </c>
      <c r="J112">
        <f t="shared" si="39"/>
        <v>-2.6000000000000014</v>
      </c>
      <c r="K112">
        <f t="shared" si="40"/>
        <v>-0.46800000000000025</v>
      </c>
      <c r="L112">
        <f t="shared" si="41"/>
        <v>-0.41600000000000026</v>
      </c>
      <c r="M112">
        <f t="shared" si="42"/>
        <v>-0.36400000000000021</v>
      </c>
      <c r="N112">
        <f t="shared" si="43"/>
        <v>-0.31200000000000017</v>
      </c>
      <c r="O112" s="4">
        <f t="shared" si="44"/>
        <v>72.413999999999945</v>
      </c>
      <c r="P112">
        <f t="shared" si="45"/>
        <v>64.368000000000052</v>
      </c>
      <c r="Q112">
        <f t="shared" si="46"/>
        <v>56.322000000000038</v>
      </c>
      <c r="R112">
        <f t="shared" si="47"/>
        <v>48.275999999999996</v>
      </c>
    </row>
    <row r="113" ht="14.25">
      <c r="A113">
        <v>705969</v>
      </c>
      <c r="B113">
        <v>-56</v>
      </c>
      <c r="C113">
        <v>80.670000000000002</v>
      </c>
      <c r="D113">
        <v>24</v>
      </c>
      <c r="E113">
        <v>40.299999999999997</v>
      </c>
      <c r="F113">
        <f t="shared" si="36"/>
        <v>11.800000000000001</v>
      </c>
      <c r="G113">
        <f t="shared" si="37"/>
        <v>15.1</v>
      </c>
      <c r="H113">
        <v>37.5</v>
      </c>
      <c r="I113">
        <f t="shared" si="38"/>
        <v>6.5999999999999996</v>
      </c>
      <c r="J113">
        <f t="shared" si="39"/>
        <v>-2.7999999999999972</v>
      </c>
      <c r="K113">
        <f t="shared" si="40"/>
        <v>-0.50399999999999945</v>
      </c>
      <c r="L113">
        <f t="shared" si="41"/>
        <v>-0.44799999999999957</v>
      </c>
      <c r="M113">
        <f t="shared" si="42"/>
        <v>-0.39199999999999963</v>
      </c>
      <c r="N113">
        <f t="shared" si="43"/>
        <v>-0.33599999999999963</v>
      </c>
      <c r="O113" s="4">
        <f t="shared" si="44"/>
        <v>71.945999999999941</v>
      </c>
      <c r="P113">
        <f t="shared" si="45"/>
        <v>63.952000000000055</v>
      </c>
      <c r="Q113">
        <f t="shared" si="46"/>
        <v>55.958000000000041</v>
      </c>
      <c r="R113">
        <f t="shared" si="47"/>
        <v>47.963999999999999</v>
      </c>
    </row>
    <row r="114" ht="14.25">
      <c r="A114">
        <v>712271</v>
      </c>
      <c r="B114">
        <v>-52.670000000000002</v>
      </c>
      <c r="C114">
        <v>80.150000000000006</v>
      </c>
      <c r="D114">
        <v>27</v>
      </c>
      <c r="E114">
        <v>40</v>
      </c>
      <c r="F114">
        <f t="shared" si="36"/>
        <v>11.9</v>
      </c>
      <c r="G114">
        <f t="shared" si="37"/>
        <v>17</v>
      </c>
      <c r="H114">
        <v>37.5</v>
      </c>
      <c r="I114">
        <f t="shared" si="38"/>
        <v>7.5</v>
      </c>
      <c r="J114">
        <f t="shared" si="39"/>
        <v>-2.5</v>
      </c>
      <c r="K114">
        <f t="shared" si="40"/>
        <v>-0.44999999999999996</v>
      </c>
      <c r="L114">
        <f t="shared" si="41"/>
        <v>-0.40000000000000002</v>
      </c>
      <c r="M114">
        <f t="shared" si="42"/>
        <v>-0.35000000000000003</v>
      </c>
      <c r="N114">
        <f t="shared" si="43"/>
        <v>-0.29999999999999999</v>
      </c>
      <c r="O114" s="4">
        <f t="shared" si="44"/>
        <v>71.441999999999936</v>
      </c>
      <c r="P114">
        <f t="shared" si="45"/>
        <v>63.504000000000055</v>
      </c>
      <c r="Q114">
        <f t="shared" si="46"/>
        <v>55.566000000000038</v>
      </c>
      <c r="R114">
        <f t="shared" si="47"/>
        <v>47.628</v>
      </c>
    </row>
    <row r="115" ht="14.25">
      <c r="A115">
        <v>718574</v>
      </c>
      <c r="B115">
        <v>-53.329999999999998</v>
      </c>
      <c r="C115">
        <v>79.609999999999999</v>
      </c>
      <c r="D115">
        <v>26</v>
      </c>
      <c r="E115">
        <v>40.100000000000001</v>
      </c>
      <c r="F115">
        <f t="shared" si="36"/>
        <v>12</v>
      </c>
      <c r="G115">
        <f t="shared" si="37"/>
        <v>16.399999999999999</v>
      </c>
      <c r="H115">
        <v>37.5</v>
      </c>
      <c r="I115">
        <f t="shared" si="38"/>
        <v>7.2000000000000002</v>
      </c>
      <c r="J115">
        <f t="shared" si="39"/>
        <v>-2.6000000000000014</v>
      </c>
      <c r="K115">
        <f t="shared" si="40"/>
        <v>-0.46800000000000025</v>
      </c>
      <c r="L115">
        <f t="shared" si="41"/>
        <v>-0.41600000000000026</v>
      </c>
      <c r="M115">
        <f t="shared" si="42"/>
        <v>-0.36400000000000021</v>
      </c>
      <c r="N115">
        <f t="shared" si="43"/>
        <v>-0.31200000000000017</v>
      </c>
      <c r="O115" s="4">
        <f t="shared" si="44"/>
        <v>70.991999999999933</v>
      </c>
      <c r="P115">
        <f t="shared" si="45"/>
        <v>63.104000000000056</v>
      </c>
      <c r="Q115">
        <f t="shared" si="46"/>
        <v>55.216000000000037</v>
      </c>
      <c r="R115">
        <f t="shared" si="47"/>
        <v>47.328000000000003</v>
      </c>
    </row>
    <row r="116" ht="14.25">
      <c r="A116">
        <v>724877</v>
      </c>
      <c r="B116">
        <v>-52</v>
      </c>
      <c r="C116">
        <v>79.090000000000003</v>
      </c>
      <c r="D116">
        <v>27</v>
      </c>
      <c r="E116">
        <v>40.100000000000001</v>
      </c>
      <c r="F116">
        <f t="shared" si="36"/>
        <v>12.1</v>
      </c>
      <c r="G116">
        <f t="shared" si="37"/>
        <v>17</v>
      </c>
      <c r="H116">
        <v>37.5</v>
      </c>
      <c r="I116">
        <f t="shared" si="38"/>
        <v>7.5</v>
      </c>
      <c r="J116">
        <f t="shared" si="39"/>
        <v>-2.6000000000000014</v>
      </c>
      <c r="K116">
        <f t="shared" si="40"/>
        <v>-0.46800000000000025</v>
      </c>
      <c r="L116">
        <f t="shared" si="41"/>
        <v>-0.41600000000000026</v>
      </c>
      <c r="M116">
        <f t="shared" si="42"/>
        <v>-0.36400000000000021</v>
      </c>
      <c r="N116">
        <f t="shared" si="43"/>
        <v>-0.31200000000000017</v>
      </c>
      <c r="O116" s="4">
        <f t="shared" si="44"/>
        <v>70.52399999999993</v>
      </c>
      <c r="P116">
        <f t="shared" si="45"/>
        <v>62.688000000000059</v>
      </c>
      <c r="Q116">
        <f t="shared" si="46"/>
        <v>54.852000000000039</v>
      </c>
      <c r="R116">
        <f t="shared" si="47"/>
        <v>47.016000000000005</v>
      </c>
    </row>
    <row r="117" ht="14.25">
      <c r="A117">
        <v>731181</v>
      </c>
      <c r="B117">
        <v>-50.670000000000002</v>
      </c>
      <c r="C117">
        <v>78.590000000000003</v>
      </c>
      <c r="D117">
        <v>27</v>
      </c>
      <c r="E117">
        <v>40</v>
      </c>
      <c r="F117">
        <f t="shared" si="36"/>
        <v>12.199999999999999</v>
      </c>
      <c r="G117">
        <f t="shared" si="37"/>
        <v>17</v>
      </c>
      <c r="H117">
        <v>37.5</v>
      </c>
      <c r="I117">
        <f t="shared" si="38"/>
        <v>7.5</v>
      </c>
      <c r="J117">
        <f t="shared" si="39"/>
        <v>-2.5</v>
      </c>
      <c r="K117">
        <f t="shared" si="40"/>
        <v>-0.44999999999999996</v>
      </c>
      <c r="L117">
        <f t="shared" si="41"/>
        <v>-0.40000000000000002</v>
      </c>
      <c r="M117">
        <f t="shared" si="42"/>
        <v>-0.35000000000000003</v>
      </c>
      <c r="N117">
        <f t="shared" si="43"/>
        <v>-0.29999999999999999</v>
      </c>
      <c r="O117" s="4">
        <f t="shared" si="44"/>
        <v>70.055999999999926</v>
      </c>
      <c r="P117">
        <f t="shared" si="45"/>
        <v>62.272000000000062</v>
      </c>
      <c r="Q117">
        <f t="shared" si="46"/>
        <v>54.488000000000042</v>
      </c>
      <c r="R117">
        <f t="shared" si="47"/>
        <v>46.704000000000008</v>
      </c>
    </row>
    <row r="118" ht="14.25">
      <c r="A118">
        <v>737484</v>
      </c>
      <c r="B118">
        <v>-48.670000000000002</v>
      </c>
      <c r="C118">
        <v>78.099999999999994</v>
      </c>
      <c r="D118">
        <v>29</v>
      </c>
      <c r="E118">
        <v>39.899999999999999</v>
      </c>
      <c r="F118">
        <f t="shared" si="36"/>
        <v>12.300000000000001</v>
      </c>
      <c r="G118">
        <f t="shared" si="37"/>
        <v>18.199999999999999</v>
      </c>
      <c r="H118">
        <v>37.5</v>
      </c>
      <c r="I118">
        <f t="shared" si="38"/>
        <v>8</v>
      </c>
      <c r="J118">
        <f t="shared" si="39"/>
        <v>-2.3999999999999986</v>
      </c>
      <c r="K118">
        <f t="shared" si="40"/>
        <v>-0.43199999999999972</v>
      </c>
      <c r="L118">
        <f t="shared" si="41"/>
        <v>-0.38399999999999979</v>
      </c>
      <c r="M118">
        <f t="shared" si="42"/>
        <v>-0.33599999999999985</v>
      </c>
      <c r="N118">
        <f t="shared" si="43"/>
        <v>-0.28799999999999981</v>
      </c>
      <c r="O118" s="4">
        <f t="shared" si="44"/>
        <v>69.605999999999923</v>
      </c>
      <c r="P118">
        <f t="shared" si="45"/>
        <v>61.872000000000064</v>
      </c>
      <c r="Q118">
        <f t="shared" si="46"/>
        <v>54.138000000000041</v>
      </c>
      <c r="R118">
        <f t="shared" si="47"/>
        <v>46.404000000000011</v>
      </c>
    </row>
    <row r="119" ht="14.25">
      <c r="A119">
        <v>743786</v>
      </c>
      <c r="B119">
        <v>-46</v>
      </c>
      <c r="C119">
        <v>77.640000000000001</v>
      </c>
      <c r="D119">
        <v>31</v>
      </c>
      <c r="E119">
        <v>39.799999999999997</v>
      </c>
      <c r="F119">
        <f t="shared" si="36"/>
        <v>12.4</v>
      </c>
      <c r="G119">
        <f t="shared" si="37"/>
        <v>19.5</v>
      </c>
      <c r="H119">
        <v>37.5</v>
      </c>
      <c r="I119">
        <f t="shared" si="38"/>
        <v>8.5999999999999996</v>
      </c>
      <c r="J119">
        <f t="shared" si="39"/>
        <v>-2.2999999999999972</v>
      </c>
      <c r="K119">
        <f t="shared" si="40"/>
        <v>-0.41399999999999948</v>
      </c>
      <c r="L119">
        <f t="shared" si="41"/>
        <v>-0.36799999999999955</v>
      </c>
      <c r="M119">
        <f t="shared" si="42"/>
        <v>-0.32199999999999962</v>
      </c>
      <c r="N119">
        <f t="shared" si="43"/>
        <v>-0.27599999999999963</v>
      </c>
      <c r="O119" s="4">
        <f t="shared" si="44"/>
        <v>69.173999999999921</v>
      </c>
      <c r="P119">
        <f t="shared" si="45"/>
        <v>61.488000000000063</v>
      </c>
      <c r="Q119">
        <f t="shared" si="46"/>
        <v>53.802000000000042</v>
      </c>
      <c r="R119">
        <f t="shared" si="47"/>
        <v>46.116000000000014</v>
      </c>
    </row>
    <row r="120" ht="14.25">
      <c r="A120">
        <v>750090</v>
      </c>
      <c r="B120">
        <v>-44</v>
      </c>
      <c r="C120">
        <v>77.200000000000003</v>
      </c>
      <c r="D120">
        <v>33</v>
      </c>
      <c r="E120">
        <v>39.600000000000001</v>
      </c>
      <c r="F120">
        <f t="shared" si="36"/>
        <v>12.5</v>
      </c>
      <c r="G120">
        <f t="shared" si="37"/>
        <v>20.800000000000001</v>
      </c>
      <c r="H120">
        <v>37.5</v>
      </c>
      <c r="I120">
        <f t="shared" si="38"/>
        <v>9.0999999999999996</v>
      </c>
      <c r="J120">
        <f t="shared" si="39"/>
        <v>-2.1000000000000014</v>
      </c>
      <c r="K120">
        <f t="shared" si="40"/>
        <v>-0.37800000000000022</v>
      </c>
      <c r="L120">
        <f t="shared" si="41"/>
        <v>-0.33600000000000024</v>
      </c>
      <c r="M120">
        <f t="shared" si="42"/>
        <v>-0.29400000000000021</v>
      </c>
      <c r="N120">
        <f t="shared" si="43"/>
        <v>-0.25200000000000017</v>
      </c>
      <c r="O120" s="4">
        <f t="shared" si="44"/>
        <v>68.75999999999992</v>
      </c>
      <c r="P120">
        <f t="shared" si="45"/>
        <v>61.120000000000061</v>
      </c>
      <c r="Q120">
        <f t="shared" si="46"/>
        <v>53.48000000000004</v>
      </c>
      <c r="R120">
        <f t="shared" si="47"/>
        <v>45.840000000000018</v>
      </c>
    </row>
    <row r="121" ht="14.25">
      <c r="A121">
        <v>756392</v>
      </c>
      <c r="B121">
        <v>-44.670000000000002</v>
      </c>
      <c r="C121">
        <v>76.75</v>
      </c>
      <c r="D121">
        <v>32</v>
      </c>
      <c r="E121">
        <v>39.700000000000003</v>
      </c>
      <c r="F121">
        <f t="shared" si="36"/>
        <v>12.6</v>
      </c>
      <c r="G121">
        <f t="shared" si="37"/>
        <v>20.100000000000001</v>
      </c>
      <c r="H121">
        <v>37.5</v>
      </c>
      <c r="I121">
        <f t="shared" si="38"/>
        <v>8.9000000000000004</v>
      </c>
      <c r="J121">
        <f t="shared" si="39"/>
        <v>-2.2000000000000028</v>
      </c>
      <c r="K121">
        <f t="shared" si="40"/>
        <v>-0.39600000000000052</v>
      </c>
      <c r="L121">
        <f t="shared" si="41"/>
        <v>-0.35200000000000048</v>
      </c>
      <c r="M121">
        <f t="shared" si="42"/>
        <v>-0.30800000000000044</v>
      </c>
      <c r="N121">
        <f t="shared" si="43"/>
        <v>-0.26400000000000035</v>
      </c>
      <c r="O121" s="4">
        <f t="shared" si="44"/>
        <v>68.38199999999992</v>
      </c>
      <c r="P121">
        <f t="shared" si="45"/>
        <v>60.784000000000063</v>
      </c>
      <c r="Q121">
        <f t="shared" si="46"/>
        <v>53.186000000000043</v>
      </c>
      <c r="R121">
        <f t="shared" si="47"/>
        <v>45.588000000000015</v>
      </c>
    </row>
    <row r="122" ht="14.25">
      <c r="A122">
        <v>762696</v>
      </c>
      <c r="B122">
        <v>-42</v>
      </c>
      <c r="C122">
        <v>76.329999999999998</v>
      </c>
      <c r="D122">
        <v>34</v>
      </c>
      <c r="E122">
        <v>39.600000000000001</v>
      </c>
      <c r="F122">
        <f t="shared" si="36"/>
        <v>12.699999999999999</v>
      </c>
      <c r="G122">
        <f t="shared" si="37"/>
        <v>21.399999999999999</v>
      </c>
      <c r="H122">
        <v>37.5</v>
      </c>
      <c r="I122">
        <f t="shared" si="38"/>
        <v>9.4000000000000004</v>
      </c>
      <c r="J122">
        <f t="shared" si="39"/>
        <v>-2.1000000000000014</v>
      </c>
      <c r="K122">
        <f t="shared" si="40"/>
        <v>-0.37800000000000022</v>
      </c>
      <c r="L122">
        <f t="shared" si="41"/>
        <v>-0.33600000000000024</v>
      </c>
      <c r="M122">
        <f t="shared" si="42"/>
        <v>-0.29400000000000021</v>
      </c>
      <c r="N122">
        <f t="shared" si="43"/>
        <v>-0.25200000000000017</v>
      </c>
      <c r="O122" s="4">
        <f t="shared" si="44"/>
        <v>67.985999999999919</v>
      </c>
      <c r="P122">
        <f t="shared" si="45"/>
        <v>60.432000000000059</v>
      </c>
      <c r="Q122">
        <f t="shared" si="46"/>
        <v>52.878000000000043</v>
      </c>
      <c r="R122">
        <f t="shared" si="47"/>
        <v>45.324000000000012</v>
      </c>
    </row>
    <row r="123" ht="14.25">
      <c r="A123">
        <v>769000</v>
      </c>
      <c r="B123">
        <v>-40</v>
      </c>
      <c r="C123">
        <v>75.930000000000007</v>
      </c>
      <c r="D123">
        <v>35</v>
      </c>
      <c r="E123">
        <v>39.5</v>
      </c>
      <c r="F123">
        <f t="shared" si="36"/>
        <v>12.800000000000001</v>
      </c>
      <c r="G123">
        <f t="shared" si="37"/>
        <v>22</v>
      </c>
      <c r="H123">
        <v>37.5</v>
      </c>
      <c r="I123">
        <f t="shared" si="38"/>
        <v>9.6999999999999993</v>
      </c>
      <c r="J123">
        <f t="shared" si="39"/>
        <v>-2</v>
      </c>
      <c r="K123">
        <f t="shared" si="40"/>
        <v>-0.35999999999999999</v>
      </c>
      <c r="L123">
        <f t="shared" si="41"/>
        <v>-0.32000000000000001</v>
      </c>
      <c r="M123">
        <f t="shared" si="42"/>
        <v>-0.28000000000000003</v>
      </c>
      <c r="N123">
        <f t="shared" si="43"/>
        <v>-0.23999999999999999</v>
      </c>
      <c r="O123" s="4">
        <f t="shared" si="44"/>
        <v>67.607999999999919</v>
      </c>
      <c r="P123">
        <f t="shared" si="45"/>
        <v>60.09600000000006</v>
      </c>
      <c r="Q123">
        <f t="shared" si="46"/>
        <v>52.584000000000046</v>
      </c>
      <c r="R123">
        <f t="shared" si="47"/>
        <v>45.07200000000001</v>
      </c>
    </row>
    <row r="124" ht="14.25">
      <c r="A124">
        <v>775305</v>
      </c>
      <c r="B124">
        <v>-40.670000000000002</v>
      </c>
      <c r="C124">
        <v>75.530000000000001</v>
      </c>
      <c r="D124">
        <v>34</v>
      </c>
      <c r="E124">
        <v>39.399999999999999</v>
      </c>
      <c r="F124">
        <f t="shared" si="36"/>
        <v>12.9</v>
      </c>
      <c r="G124">
        <f t="shared" si="37"/>
        <v>21.399999999999999</v>
      </c>
      <c r="H124">
        <v>37.5</v>
      </c>
      <c r="I124">
        <f t="shared" si="38"/>
        <v>9.4000000000000004</v>
      </c>
      <c r="J124">
        <f t="shared" si="39"/>
        <v>-1.8999999999999986</v>
      </c>
      <c r="K124">
        <f t="shared" si="40"/>
        <v>-0.34199999999999975</v>
      </c>
      <c r="L124">
        <f t="shared" si="41"/>
        <v>-0.30399999999999977</v>
      </c>
      <c r="M124">
        <f t="shared" si="42"/>
        <v>-0.26599999999999985</v>
      </c>
      <c r="N124">
        <f t="shared" si="43"/>
        <v>-0.22799999999999981</v>
      </c>
      <c r="O124" s="4">
        <f t="shared" si="44"/>
        <v>67.247999999999919</v>
      </c>
      <c r="P124">
        <f t="shared" si="45"/>
        <v>59.77600000000006</v>
      </c>
      <c r="Q124">
        <f t="shared" si="46"/>
        <v>52.304000000000045</v>
      </c>
      <c r="R124">
        <f t="shared" si="47"/>
        <v>44.832000000000008</v>
      </c>
    </row>
    <row r="125" ht="14.25">
      <c r="A125">
        <v>781608</v>
      </c>
      <c r="B125">
        <v>-40.670000000000002</v>
      </c>
      <c r="C125">
        <v>75.120000000000005</v>
      </c>
      <c r="D125">
        <v>34</v>
      </c>
      <c r="E125">
        <v>39.5</v>
      </c>
      <c r="F125">
        <f t="shared" si="36"/>
        <v>13</v>
      </c>
      <c r="G125">
        <f t="shared" si="37"/>
        <v>21.399999999999999</v>
      </c>
      <c r="H125">
        <v>37.5</v>
      </c>
      <c r="I125">
        <f t="shared" si="38"/>
        <v>9.4000000000000004</v>
      </c>
      <c r="J125">
        <f t="shared" si="39"/>
        <v>-2</v>
      </c>
      <c r="K125">
        <f t="shared" si="40"/>
        <v>-0.35999999999999999</v>
      </c>
      <c r="L125">
        <f t="shared" si="41"/>
        <v>-0.32000000000000001</v>
      </c>
      <c r="M125">
        <f t="shared" si="42"/>
        <v>-0.28000000000000003</v>
      </c>
      <c r="N125">
        <f t="shared" si="43"/>
        <v>-0.23999999999999999</v>
      </c>
      <c r="O125" s="4">
        <f t="shared" si="44"/>
        <v>66.905999999999921</v>
      </c>
      <c r="P125">
        <f t="shared" si="45"/>
        <v>59.472000000000058</v>
      </c>
      <c r="Q125">
        <f t="shared" si="46"/>
        <v>52.038000000000046</v>
      </c>
      <c r="R125">
        <f t="shared" si="47"/>
        <v>44.604000000000006</v>
      </c>
    </row>
    <row r="126" ht="14.25">
      <c r="A126">
        <v>787910</v>
      </c>
      <c r="B126">
        <v>-35.329999999999998</v>
      </c>
      <c r="C126">
        <v>74.769999999999996</v>
      </c>
      <c r="D126">
        <v>39</v>
      </c>
      <c r="E126">
        <v>39.200000000000003</v>
      </c>
      <c r="F126">
        <f t="shared" si="36"/>
        <v>13.1</v>
      </c>
      <c r="G126">
        <f t="shared" si="37"/>
        <v>24.5</v>
      </c>
      <c r="H126">
        <v>37.5</v>
      </c>
      <c r="I126">
        <f t="shared" si="38"/>
        <v>10.800000000000001</v>
      </c>
      <c r="J126">
        <f t="shared" si="39"/>
        <v>-1.7000000000000028</v>
      </c>
      <c r="K126">
        <f t="shared" si="40"/>
        <v>-0.30600000000000049</v>
      </c>
      <c r="L126">
        <f t="shared" si="41"/>
        <v>-0.27200000000000046</v>
      </c>
      <c r="M126">
        <f t="shared" si="42"/>
        <v>-0.23800000000000043</v>
      </c>
      <c r="N126">
        <f t="shared" si="43"/>
        <v>-0.20400000000000032</v>
      </c>
      <c r="O126" s="4">
        <f t="shared" si="44"/>
        <v>66.545999999999921</v>
      </c>
      <c r="P126">
        <f t="shared" si="45"/>
        <v>59.152000000000058</v>
      </c>
      <c r="Q126">
        <f t="shared" si="46"/>
        <v>51.758000000000045</v>
      </c>
      <c r="R126">
        <f t="shared" si="47"/>
        <v>44.364000000000004</v>
      </c>
    </row>
    <row r="127" ht="14.25">
      <c r="A127">
        <v>794214</v>
      </c>
      <c r="B127">
        <v>-34.670000000000002</v>
      </c>
      <c r="C127">
        <v>74.420000000000002</v>
      </c>
      <c r="D127">
        <v>39</v>
      </c>
      <c r="E127">
        <v>39.200000000000003</v>
      </c>
      <c r="F127">
        <f t="shared" si="36"/>
        <v>13.199999999999999</v>
      </c>
      <c r="G127">
        <f t="shared" si="37"/>
        <v>24.5</v>
      </c>
      <c r="H127">
        <v>37.5</v>
      </c>
      <c r="I127">
        <f t="shared" si="38"/>
        <v>10.800000000000001</v>
      </c>
      <c r="J127">
        <f t="shared" si="39"/>
        <v>-1.7000000000000028</v>
      </c>
      <c r="K127">
        <f t="shared" si="40"/>
        <v>-0.30600000000000049</v>
      </c>
      <c r="L127">
        <f t="shared" si="41"/>
        <v>-0.27200000000000046</v>
      </c>
      <c r="M127">
        <f t="shared" si="42"/>
        <v>-0.23800000000000043</v>
      </c>
      <c r="N127">
        <f t="shared" si="43"/>
        <v>-0.20400000000000032</v>
      </c>
      <c r="O127" s="4">
        <f t="shared" si="44"/>
        <v>66.239999999999924</v>
      </c>
      <c r="P127">
        <f t="shared" si="45"/>
        <v>58.880000000000059</v>
      </c>
      <c r="Q127">
        <f t="shared" si="46"/>
        <v>51.520000000000046</v>
      </c>
      <c r="R127">
        <f t="shared" si="47"/>
        <v>44.160000000000004</v>
      </c>
    </row>
    <row r="128" ht="14.25">
      <c r="A128">
        <v>800518</v>
      </c>
      <c r="B128">
        <v>-32.670000000000002</v>
      </c>
      <c r="C128">
        <v>74.090000000000003</v>
      </c>
      <c r="D128">
        <v>41</v>
      </c>
      <c r="E128">
        <v>39.100000000000001</v>
      </c>
      <c r="F128">
        <f t="shared" si="36"/>
        <v>13.300000000000001</v>
      </c>
      <c r="G128">
        <f t="shared" si="37"/>
        <v>25.800000000000001</v>
      </c>
      <c r="H128">
        <v>37.5</v>
      </c>
      <c r="I128">
        <f t="shared" si="38"/>
        <v>11.300000000000001</v>
      </c>
      <c r="J128">
        <f t="shared" si="39"/>
        <v>-1.6000000000000014</v>
      </c>
      <c r="K128">
        <f t="shared" si="40"/>
        <v>-0.28800000000000026</v>
      </c>
      <c r="L128">
        <f t="shared" si="41"/>
        <v>-0.25600000000000023</v>
      </c>
      <c r="M128">
        <f t="shared" si="42"/>
        <v>-0.22400000000000023</v>
      </c>
      <c r="N128">
        <f t="shared" si="43"/>
        <v>-0.19200000000000017</v>
      </c>
      <c r="O128" s="4">
        <f t="shared" si="44"/>
        <v>65.933999999999926</v>
      </c>
      <c r="P128">
        <f t="shared" si="45"/>
        <v>58.608000000000061</v>
      </c>
      <c r="Q128">
        <f t="shared" si="46"/>
        <v>51.282000000000046</v>
      </c>
      <c r="R128">
        <f t="shared" si="47"/>
        <v>43.956000000000003</v>
      </c>
    </row>
    <row r="129" ht="14.25">
      <c r="A129">
        <v>806820</v>
      </c>
      <c r="B129">
        <v>-32.670000000000002</v>
      </c>
      <c r="C129">
        <v>73.769999999999996</v>
      </c>
      <c r="D129">
        <v>41</v>
      </c>
      <c r="E129">
        <v>39.100000000000001</v>
      </c>
      <c r="F129">
        <f t="shared" si="36"/>
        <v>13.4</v>
      </c>
      <c r="G129">
        <f t="shared" si="37"/>
        <v>25.800000000000001</v>
      </c>
      <c r="H129">
        <v>37.5</v>
      </c>
      <c r="I129">
        <f t="shared" si="38"/>
        <v>11.300000000000001</v>
      </c>
      <c r="J129">
        <f t="shared" si="39"/>
        <v>-1.6000000000000014</v>
      </c>
      <c r="K129">
        <f t="shared" si="40"/>
        <v>-0.28800000000000026</v>
      </c>
      <c r="L129">
        <f t="shared" si="41"/>
        <v>-0.25600000000000023</v>
      </c>
      <c r="M129">
        <f t="shared" si="42"/>
        <v>-0.22400000000000023</v>
      </c>
      <c r="N129">
        <f t="shared" si="43"/>
        <v>-0.19200000000000017</v>
      </c>
      <c r="O129" s="4">
        <f t="shared" si="44"/>
        <v>65.64599999999993</v>
      </c>
      <c r="P129">
        <f t="shared" si="45"/>
        <v>58.352000000000061</v>
      </c>
      <c r="Q129">
        <f t="shared" si="46"/>
        <v>51.058000000000042</v>
      </c>
      <c r="R129">
        <f t="shared" si="47"/>
        <v>43.764000000000003</v>
      </c>
    </row>
    <row r="130" ht="14.25">
      <c r="A130">
        <v>813123</v>
      </c>
      <c r="B130">
        <v>-30.670000000000002</v>
      </c>
      <c r="C130">
        <v>73.459999999999994</v>
      </c>
      <c r="D130">
        <v>42</v>
      </c>
      <c r="E130">
        <v>39</v>
      </c>
      <c r="F130">
        <f t="shared" si="36"/>
        <v>13.6</v>
      </c>
      <c r="G130">
        <f t="shared" si="37"/>
        <v>26.399999999999999</v>
      </c>
      <c r="H130">
        <v>37.5</v>
      </c>
      <c r="I130">
        <f t="shared" si="38"/>
        <v>11.6</v>
      </c>
      <c r="J130">
        <f t="shared" si="39"/>
        <v>-1.5</v>
      </c>
      <c r="K130">
        <f t="shared" si="40"/>
        <v>-0.27000000000000002</v>
      </c>
      <c r="L130">
        <f t="shared" si="41"/>
        <v>-0.23999999999999999</v>
      </c>
      <c r="M130">
        <f t="shared" si="42"/>
        <v>-0.21000000000000002</v>
      </c>
      <c r="N130">
        <f t="shared" si="43"/>
        <v>-0.17999999999999999</v>
      </c>
      <c r="O130" s="4">
        <f t="shared" si="44"/>
        <v>65.357999999999933</v>
      </c>
      <c r="P130">
        <f t="shared" si="45"/>
        <v>58.09600000000006</v>
      </c>
      <c r="Q130">
        <f t="shared" si="46"/>
        <v>50.834000000000039</v>
      </c>
      <c r="R130">
        <f t="shared" si="47"/>
        <v>43.572000000000003</v>
      </c>
    </row>
    <row r="131" ht="14.25">
      <c r="A131">
        <v>819425</v>
      </c>
      <c r="B131">
        <v>-31.329999999999998</v>
      </c>
      <c r="C131">
        <v>73.150000000000006</v>
      </c>
      <c r="D131">
        <v>41</v>
      </c>
      <c r="E131">
        <v>39</v>
      </c>
      <c r="F131">
        <f t="shared" si="36"/>
        <v>13.699999999999999</v>
      </c>
      <c r="G131">
        <f t="shared" si="37"/>
        <v>25.800000000000001</v>
      </c>
      <c r="H131">
        <v>37.5</v>
      </c>
      <c r="I131">
        <f t="shared" si="38"/>
        <v>11.300000000000001</v>
      </c>
      <c r="J131">
        <f t="shared" si="39"/>
        <v>-1.5</v>
      </c>
      <c r="K131">
        <f t="shared" si="40"/>
        <v>-0.27000000000000002</v>
      </c>
      <c r="L131">
        <f t="shared" si="41"/>
        <v>-0.23999999999999999</v>
      </c>
      <c r="M131">
        <f t="shared" si="42"/>
        <v>-0.21000000000000002</v>
      </c>
      <c r="N131">
        <f t="shared" si="43"/>
        <v>-0.17999999999999999</v>
      </c>
      <c r="O131" s="4">
        <f t="shared" si="44"/>
        <v>65.087999999999937</v>
      </c>
      <c r="P131">
        <f t="shared" si="45"/>
        <v>57.856000000000058</v>
      </c>
      <c r="Q131">
        <f t="shared" si="46"/>
        <v>50.624000000000038</v>
      </c>
      <c r="R131">
        <f t="shared" si="47"/>
        <v>43.392000000000003</v>
      </c>
    </row>
    <row r="132" ht="14.25">
      <c r="A132">
        <v>825729</v>
      </c>
      <c r="B132">
        <v>-28</v>
      </c>
      <c r="C132">
        <v>72.870000000000005</v>
      </c>
      <c r="D132">
        <v>44</v>
      </c>
      <c r="E132">
        <v>38.799999999999997</v>
      </c>
      <c r="F132">
        <f t="shared" si="36"/>
        <v>13.800000000000001</v>
      </c>
      <c r="G132">
        <f t="shared" si="37"/>
        <v>27.699999999999999</v>
      </c>
      <c r="H132">
        <v>37.5</v>
      </c>
      <c r="I132">
        <f t="shared" si="38"/>
        <v>12.199999999999999</v>
      </c>
      <c r="J132">
        <f t="shared" si="39"/>
        <v>-1.2999999999999972</v>
      </c>
      <c r="K132">
        <f t="shared" si="40"/>
        <v>-0.23399999999999949</v>
      </c>
      <c r="L132">
        <f t="shared" si="41"/>
        <v>-0.20799999999999955</v>
      </c>
      <c r="M132">
        <f t="shared" si="42"/>
        <v>-0.18199999999999961</v>
      </c>
      <c r="N132">
        <f t="shared" si="43"/>
        <v>-0.15599999999999967</v>
      </c>
      <c r="O132" s="4">
        <f t="shared" si="44"/>
        <v>64.817999999999941</v>
      </c>
      <c r="P132">
        <f t="shared" si="45"/>
        <v>57.616000000000057</v>
      </c>
      <c r="Q132">
        <f t="shared" si="46"/>
        <v>50.414000000000037</v>
      </c>
      <c r="R132">
        <f t="shared" si="47"/>
        <v>43.212000000000003</v>
      </c>
    </row>
    <row r="133" ht="14.25">
      <c r="A133">
        <v>832032</v>
      </c>
      <c r="B133">
        <v>-24.670000000000002</v>
      </c>
      <c r="C133">
        <v>72.620000000000005</v>
      </c>
      <c r="D133">
        <v>47</v>
      </c>
      <c r="E133">
        <v>38.799999999999997</v>
      </c>
      <c r="F133">
        <f t="shared" si="36"/>
        <v>13.9</v>
      </c>
      <c r="G133">
        <f t="shared" si="37"/>
        <v>29.600000000000001</v>
      </c>
      <c r="H133">
        <v>37.5</v>
      </c>
      <c r="I133">
        <f t="shared" si="38"/>
        <v>13</v>
      </c>
      <c r="J133">
        <f t="shared" si="39"/>
        <v>-1.2999999999999972</v>
      </c>
      <c r="K133">
        <f t="shared" si="40"/>
        <v>-0.23399999999999949</v>
      </c>
      <c r="L133">
        <f t="shared" si="41"/>
        <v>-0.20799999999999955</v>
      </c>
      <c r="M133">
        <f t="shared" si="42"/>
        <v>-0.18199999999999961</v>
      </c>
      <c r="N133">
        <f t="shared" si="43"/>
        <v>-0.15599999999999967</v>
      </c>
      <c r="O133" s="4">
        <f t="shared" si="44"/>
        <v>64.583999999999946</v>
      </c>
      <c r="P133">
        <f t="shared" si="45"/>
        <v>57.408000000000058</v>
      </c>
      <c r="Q133">
        <f t="shared" si="46"/>
        <v>50.232000000000035</v>
      </c>
      <c r="R133">
        <f t="shared" si="47"/>
        <v>43.056000000000004</v>
      </c>
    </row>
    <row r="134" ht="14.25">
      <c r="A134">
        <v>838334</v>
      </c>
      <c r="B134">
        <v>-24.670000000000002</v>
      </c>
      <c r="C134">
        <v>72.370000000000005</v>
      </c>
      <c r="D134">
        <v>47</v>
      </c>
      <c r="E134">
        <v>38.799999999999997</v>
      </c>
      <c r="F134">
        <f t="shared" si="36"/>
        <v>14</v>
      </c>
      <c r="G134">
        <f t="shared" si="37"/>
        <v>29.600000000000001</v>
      </c>
      <c r="H134">
        <v>37.5</v>
      </c>
      <c r="I134">
        <f t="shared" si="38"/>
        <v>13</v>
      </c>
      <c r="J134">
        <f t="shared" si="39"/>
        <v>-1.2999999999999972</v>
      </c>
      <c r="K134">
        <f t="shared" si="40"/>
        <v>-0.23399999999999949</v>
      </c>
      <c r="L134">
        <f t="shared" si="41"/>
        <v>-0.20799999999999955</v>
      </c>
      <c r="M134">
        <f t="shared" si="42"/>
        <v>-0.18199999999999961</v>
      </c>
      <c r="N134">
        <f t="shared" si="43"/>
        <v>-0.15599999999999967</v>
      </c>
      <c r="O134" s="4">
        <f t="shared" si="44"/>
        <v>64.349999999999952</v>
      </c>
      <c r="P134">
        <f t="shared" si="45"/>
        <v>57.20000000000006</v>
      </c>
      <c r="Q134">
        <f t="shared" si="46"/>
        <v>50.050000000000033</v>
      </c>
      <c r="R134">
        <f t="shared" si="47"/>
        <v>42.900000000000006</v>
      </c>
    </row>
    <row r="135" ht="14.25">
      <c r="A135">
        <v>844638</v>
      </c>
      <c r="B135">
        <v>-24</v>
      </c>
      <c r="C135">
        <v>72.129999999999995</v>
      </c>
      <c r="D135">
        <v>48</v>
      </c>
      <c r="E135">
        <v>38.700000000000003</v>
      </c>
      <c r="F135">
        <f t="shared" si="36"/>
        <v>14.1</v>
      </c>
      <c r="G135">
        <f t="shared" si="37"/>
        <v>30.199999999999999</v>
      </c>
      <c r="H135">
        <v>37.5</v>
      </c>
      <c r="I135">
        <f t="shared" si="38"/>
        <v>13.300000000000001</v>
      </c>
      <c r="J135">
        <f t="shared" si="39"/>
        <v>-1.2000000000000028</v>
      </c>
      <c r="K135">
        <f t="shared" si="40"/>
        <v>-0.2160000000000005</v>
      </c>
      <c r="L135">
        <f t="shared" si="41"/>
        <v>-0.19200000000000045</v>
      </c>
      <c r="M135">
        <f t="shared" si="42"/>
        <v>-0.16800000000000043</v>
      </c>
      <c r="N135">
        <f t="shared" si="43"/>
        <v>-0.14400000000000032</v>
      </c>
      <c r="O135" s="4">
        <f t="shared" si="44"/>
        <v>64.115999999999957</v>
      </c>
      <c r="P135">
        <f t="shared" si="45"/>
        <v>56.992000000000061</v>
      </c>
      <c r="Q135">
        <f t="shared" si="46"/>
        <v>49.868000000000031</v>
      </c>
      <c r="R135">
        <f t="shared" si="47"/>
        <v>42.744000000000007</v>
      </c>
    </row>
    <row r="136" ht="14.25">
      <c r="A136">
        <v>850942</v>
      </c>
      <c r="B136">
        <v>-22</v>
      </c>
      <c r="C136">
        <v>71.909999999999997</v>
      </c>
      <c r="D136">
        <v>49</v>
      </c>
      <c r="E136">
        <v>38.5</v>
      </c>
      <c r="F136">
        <f t="shared" si="36"/>
        <v>14.199999999999999</v>
      </c>
      <c r="G136">
        <f t="shared" si="37"/>
        <v>30.800000000000001</v>
      </c>
      <c r="H136">
        <v>37.5</v>
      </c>
      <c r="I136">
        <f t="shared" si="38"/>
        <v>13.6</v>
      </c>
      <c r="J136">
        <f t="shared" si="39"/>
        <v>-1</v>
      </c>
      <c r="K136">
        <f t="shared" si="40"/>
        <v>-0.17999999999999999</v>
      </c>
      <c r="L136">
        <f t="shared" si="41"/>
        <v>-0.16</v>
      </c>
      <c r="M136">
        <f t="shared" si="42"/>
        <v>-0.14000000000000001</v>
      </c>
      <c r="N136">
        <f t="shared" si="43"/>
        <v>-0.12</v>
      </c>
      <c r="O136" s="4">
        <f t="shared" si="44"/>
        <v>63.899999999999956</v>
      </c>
      <c r="P136">
        <f t="shared" si="45"/>
        <v>56.800000000000061</v>
      </c>
      <c r="Q136">
        <f t="shared" si="46"/>
        <v>49.700000000000031</v>
      </c>
      <c r="R136">
        <f t="shared" si="47"/>
        <v>42.600000000000009</v>
      </c>
    </row>
    <row r="137" ht="14.25">
      <c r="A137">
        <v>857246</v>
      </c>
      <c r="B137">
        <v>-19.329999999999998</v>
      </c>
      <c r="C137">
        <v>71.719999999999999</v>
      </c>
      <c r="D137">
        <v>52</v>
      </c>
      <c r="E137">
        <v>38.299999999999997</v>
      </c>
      <c r="F137">
        <f t="shared" si="36"/>
        <v>14.300000000000001</v>
      </c>
      <c r="G137">
        <f t="shared" si="37"/>
        <v>32.700000000000003</v>
      </c>
      <c r="H137">
        <v>37.5</v>
      </c>
      <c r="I137">
        <f t="shared" si="38"/>
        <v>14.4</v>
      </c>
      <c r="J137">
        <f t="shared" si="39"/>
        <v>-0.79999999999999716</v>
      </c>
      <c r="K137">
        <f t="shared" si="40"/>
        <v>-0.14399999999999949</v>
      </c>
      <c r="L137">
        <f t="shared" si="41"/>
        <v>-0.12799999999999956</v>
      </c>
      <c r="M137">
        <f t="shared" si="42"/>
        <v>-0.11199999999999961</v>
      </c>
      <c r="N137">
        <f t="shared" si="43"/>
        <v>-9.5999999999999655e-002</v>
      </c>
      <c r="O137" s="4">
        <f t="shared" si="44"/>
        <v>63.719999999999956</v>
      </c>
      <c r="P137">
        <f t="shared" si="45"/>
        <v>56.640000000000065</v>
      </c>
      <c r="Q137">
        <f t="shared" si="46"/>
        <v>49.560000000000031</v>
      </c>
      <c r="R137">
        <f t="shared" si="47"/>
        <v>42.480000000000011</v>
      </c>
    </row>
    <row r="138" ht="14.25">
      <c r="A138">
        <v>863550</v>
      </c>
      <c r="B138">
        <v>-18</v>
      </c>
      <c r="C138">
        <v>71.540000000000006</v>
      </c>
      <c r="D138">
        <v>53</v>
      </c>
      <c r="E138">
        <v>38.299999999999997</v>
      </c>
      <c r="F138">
        <f t="shared" si="36"/>
        <v>14.4</v>
      </c>
      <c r="G138">
        <f t="shared" si="37"/>
        <v>33.299999999999997</v>
      </c>
      <c r="H138">
        <v>37.5</v>
      </c>
      <c r="I138">
        <f t="shared" si="38"/>
        <v>14.699999999999999</v>
      </c>
      <c r="J138">
        <f t="shared" si="39"/>
        <v>-0.79999999999999716</v>
      </c>
      <c r="K138">
        <f t="shared" si="40"/>
        <v>-0.14399999999999949</v>
      </c>
      <c r="L138">
        <f t="shared" si="41"/>
        <v>-0.12799999999999956</v>
      </c>
      <c r="M138">
        <f t="shared" si="42"/>
        <v>-0.11199999999999961</v>
      </c>
      <c r="N138">
        <f t="shared" si="43"/>
        <v>-9.5999999999999655e-002</v>
      </c>
      <c r="O138" s="4">
        <f t="shared" si="44"/>
        <v>63.575999999999958</v>
      </c>
      <c r="P138">
        <f t="shared" si="45"/>
        <v>56.512000000000064</v>
      </c>
      <c r="Q138">
        <f t="shared" si="46"/>
        <v>49.448000000000029</v>
      </c>
      <c r="R138">
        <f t="shared" si="47"/>
        <v>42.384000000000015</v>
      </c>
    </row>
    <row r="139" ht="14.25">
      <c r="A139">
        <v>869854</v>
      </c>
      <c r="B139">
        <v>-16</v>
      </c>
      <c r="C139">
        <v>71.379999999999995</v>
      </c>
      <c r="D139">
        <v>55</v>
      </c>
      <c r="E139">
        <v>38.299999999999997</v>
      </c>
      <c r="F139">
        <f t="shared" si="36"/>
        <v>14.5</v>
      </c>
      <c r="G139">
        <f t="shared" si="37"/>
        <v>34.600000000000001</v>
      </c>
      <c r="H139">
        <v>37.5</v>
      </c>
      <c r="I139">
        <f t="shared" si="38"/>
        <v>15.199999999999999</v>
      </c>
      <c r="J139">
        <f t="shared" si="39"/>
        <v>-0.79999999999999716</v>
      </c>
      <c r="K139">
        <f t="shared" si="40"/>
        <v>-0.14399999999999949</v>
      </c>
      <c r="L139">
        <f t="shared" si="41"/>
        <v>-0.12799999999999956</v>
      </c>
      <c r="M139">
        <f t="shared" si="42"/>
        <v>-0.11199999999999961</v>
      </c>
      <c r="N139">
        <f t="shared" si="43"/>
        <v>-9.5999999999999655e-002</v>
      </c>
      <c r="O139" s="4">
        <f t="shared" si="44"/>
        <v>63.43199999999996</v>
      </c>
      <c r="P139">
        <f t="shared" si="45"/>
        <v>56.384000000000064</v>
      </c>
      <c r="Q139">
        <f t="shared" si="46"/>
        <v>49.336000000000027</v>
      </c>
      <c r="R139">
        <f t="shared" si="47"/>
        <v>42.288000000000018</v>
      </c>
    </row>
    <row r="140" ht="14.25">
      <c r="A140">
        <v>876156</v>
      </c>
      <c r="B140">
        <v>-16.670000000000002</v>
      </c>
      <c r="C140">
        <v>71.209999999999994</v>
      </c>
      <c r="D140">
        <v>54</v>
      </c>
      <c r="E140">
        <v>38.5</v>
      </c>
      <c r="F140">
        <f t="shared" si="36"/>
        <v>14.6</v>
      </c>
      <c r="G140">
        <f t="shared" si="37"/>
        <v>34</v>
      </c>
      <c r="H140">
        <v>37.5</v>
      </c>
      <c r="I140">
        <f t="shared" si="38"/>
        <v>14.9</v>
      </c>
      <c r="J140">
        <f t="shared" si="39"/>
        <v>-1</v>
      </c>
      <c r="K140">
        <f t="shared" si="40"/>
        <v>-0.17999999999999999</v>
      </c>
      <c r="L140">
        <f t="shared" si="41"/>
        <v>-0.16</v>
      </c>
      <c r="M140">
        <f t="shared" si="42"/>
        <v>-0.14000000000000001</v>
      </c>
      <c r="N140">
        <f t="shared" si="43"/>
        <v>-0.12</v>
      </c>
      <c r="O140" s="4">
        <f t="shared" si="44"/>
        <v>63.287999999999961</v>
      </c>
      <c r="P140">
        <f t="shared" si="45"/>
        <v>56.256000000000064</v>
      </c>
      <c r="Q140">
        <f t="shared" si="46"/>
        <v>49.224000000000025</v>
      </c>
      <c r="R140">
        <f t="shared" si="47"/>
        <v>42.192000000000021</v>
      </c>
    </row>
    <row r="141" ht="14.25">
      <c r="A141">
        <v>882459</v>
      </c>
      <c r="B141">
        <v>-14</v>
      </c>
      <c r="C141">
        <v>71.069999999999993</v>
      </c>
      <c r="D141">
        <v>57</v>
      </c>
      <c r="E141">
        <v>38.100000000000001</v>
      </c>
      <c r="F141">
        <f t="shared" si="36"/>
        <v>14.699999999999999</v>
      </c>
      <c r="G141">
        <f t="shared" si="37"/>
        <v>35.799999999999997</v>
      </c>
      <c r="H141">
        <v>37.5</v>
      </c>
      <c r="I141">
        <f t="shared" si="38"/>
        <v>15.800000000000001</v>
      </c>
      <c r="J141">
        <f t="shared" si="39"/>
        <v>-0.60000000000000142</v>
      </c>
      <c r="K141">
        <f t="shared" si="40"/>
        <v>-0.10800000000000025</v>
      </c>
      <c r="L141">
        <f t="shared" si="41"/>
        <v>-9.6000000000000224e-002</v>
      </c>
      <c r="M141">
        <f t="shared" si="42"/>
        <v>-8.4000000000000213e-002</v>
      </c>
      <c r="N141">
        <f t="shared" si="43"/>
        <v>-7.2000000000000161e-002</v>
      </c>
      <c r="O141" s="4">
        <f t="shared" si="44"/>
        <v>63.107999999999961</v>
      </c>
      <c r="P141">
        <f t="shared" si="45"/>
        <v>56.096000000000068</v>
      </c>
      <c r="Q141">
        <f t="shared" si="46"/>
        <v>49.084000000000024</v>
      </c>
      <c r="R141">
        <f t="shared" si="47"/>
        <v>42.072000000000024</v>
      </c>
    </row>
    <row r="142" ht="14.25">
      <c r="A142">
        <v>888762</v>
      </c>
      <c r="B142">
        <v>-14.67</v>
      </c>
      <c r="C142">
        <v>70.930000000000007</v>
      </c>
      <c r="D142">
        <v>56</v>
      </c>
      <c r="E142">
        <v>38.100000000000001</v>
      </c>
      <c r="F142">
        <f t="shared" si="36"/>
        <v>14.800000000000001</v>
      </c>
      <c r="G142">
        <f t="shared" si="37"/>
        <v>35.200000000000003</v>
      </c>
      <c r="H142">
        <v>37.5</v>
      </c>
      <c r="I142">
        <f t="shared" si="38"/>
        <v>15.5</v>
      </c>
      <c r="J142">
        <f t="shared" si="39"/>
        <v>-0.60000000000000142</v>
      </c>
      <c r="K142">
        <f t="shared" si="40"/>
        <v>-0.10800000000000025</v>
      </c>
      <c r="L142">
        <f t="shared" si="41"/>
        <v>-9.6000000000000224e-002</v>
      </c>
      <c r="M142">
        <f t="shared" si="42"/>
        <v>-8.4000000000000213e-002</v>
      </c>
      <c r="N142">
        <f t="shared" si="43"/>
        <v>-7.2000000000000161e-002</v>
      </c>
      <c r="O142" s="4">
        <f t="shared" si="44"/>
        <v>62.999999999999964</v>
      </c>
      <c r="P142">
        <f t="shared" si="45"/>
        <v>56.000000000000064</v>
      </c>
      <c r="Q142">
        <f t="shared" si="46"/>
        <v>49.000000000000021</v>
      </c>
      <c r="R142">
        <f t="shared" si="47"/>
        <v>42.000000000000021</v>
      </c>
    </row>
    <row r="143" ht="14.25">
      <c r="A143">
        <v>895066</v>
      </c>
      <c r="B143">
        <v>-12.67</v>
      </c>
      <c r="C143">
        <v>70.799999999999997</v>
      </c>
      <c r="D143">
        <v>58</v>
      </c>
      <c r="E143">
        <v>38.100000000000001</v>
      </c>
      <c r="F143">
        <f t="shared" si="36"/>
        <v>14.9</v>
      </c>
      <c r="G143">
        <f t="shared" si="37"/>
        <v>36.5</v>
      </c>
      <c r="H143">
        <v>37.5</v>
      </c>
      <c r="I143">
        <f t="shared" si="38"/>
        <v>16.100000000000001</v>
      </c>
      <c r="J143">
        <f t="shared" si="39"/>
        <v>-0.60000000000000142</v>
      </c>
      <c r="K143">
        <f t="shared" si="40"/>
        <v>-0.10800000000000025</v>
      </c>
      <c r="L143">
        <f t="shared" si="41"/>
        <v>-9.6000000000000224e-002</v>
      </c>
      <c r="M143">
        <f t="shared" si="42"/>
        <v>-8.4000000000000213e-002</v>
      </c>
      <c r="N143">
        <f t="shared" si="43"/>
        <v>-7.2000000000000161e-002</v>
      </c>
      <c r="O143" s="4">
        <f t="shared" si="44"/>
        <v>62.891999999999967</v>
      </c>
      <c r="P143">
        <f t="shared" si="45"/>
        <v>55.90400000000006</v>
      </c>
      <c r="Q143">
        <f t="shared" si="46"/>
        <v>48.916000000000018</v>
      </c>
      <c r="R143">
        <f t="shared" si="47"/>
        <v>41.928000000000019</v>
      </c>
    </row>
    <row r="144" ht="14.25">
      <c r="A144">
        <v>901368</v>
      </c>
      <c r="B144">
        <v>-8</v>
      </c>
      <c r="C144">
        <v>70.719999999999999</v>
      </c>
      <c r="D144">
        <v>62</v>
      </c>
      <c r="E144">
        <v>38.100000000000001</v>
      </c>
      <c r="F144">
        <f t="shared" si="36"/>
        <v>15</v>
      </c>
      <c r="G144">
        <f t="shared" si="37"/>
        <v>39</v>
      </c>
      <c r="H144">
        <v>37.5</v>
      </c>
      <c r="I144">
        <f t="shared" si="38"/>
        <v>17.199999999999999</v>
      </c>
      <c r="J144">
        <f t="shared" si="39"/>
        <v>-0.60000000000000142</v>
      </c>
      <c r="K144">
        <f t="shared" si="40"/>
        <v>-0.10800000000000025</v>
      </c>
      <c r="L144">
        <f t="shared" si="41"/>
        <v>-9.6000000000000224e-002</v>
      </c>
      <c r="M144">
        <f t="shared" si="42"/>
        <v>-8.4000000000000213e-002</v>
      </c>
      <c r="N144">
        <f t="shared" si="43"/>
        <v>-7.2000000000000161e-002</v>
      </c>
      <c r="O144" s="4">
        <f t="shared" si="44"/>
        <v>62.78399999999997</v>
      </c>
      <c r="P144">
        <f t="shared" si="45"/>
        <v>55.808000000000057</v>
      </c>
      <c r="Q144">
        <f t="shared" si="46"/>
        <v>48.832000000000015</v>
      </c>
      <c r="R144">
        <f t="shared" si="47"/>
        <v>41.856000000000016</v>
      </c>
    </row>
    <row r="145" ht="14.25">
      <c r="A145">
        <v>907671</v>
      </c>
      <c r="B145">
        <v>-8.6699999999999999</v>
      </c>
      <c r="C145">
        <v>70.629999999999995</v>
      </c>
      <c r="D145">
        <v>61</v>
      </c>
      <c r="E145">
        <v>37.899999999999999</v>
      </c>
      <c r="F145">
        <f t="shared" si="36"/>
        <v>15.1</v>
      </c>
      <c r="G145">
        <f t="shared" si="37"/>
        <v>38.399999999999999</v>
      </c>
      <c r="H145">
        <v>37.5</v>
      </c>
      <c r="I145">
        <f t="shared" si="38"/>
        <v>16.899999999999999</v>
      </c>
      <c r="J145">
        <f t="shared" si="39"/>
        <v>-0.39999999999999858</v>
      </c>
      <c r="K145">
        <f t="shared" si="40"/>
        <v>-7.1999999999999745e-002</v>
      </c>
      <c r="L145">
        <f t="shared" si="41"/>
        <v>-6.3999999999999779e-002</v>
      </c>
      <c r="M145">
        <f t="shared" si="42"/>
        <v>-5.5999999999999807e-002</v>
      </c>
      <c r="N145">
        <f t="shared" si="43"/>
        <v>-4.7999999999999828e-002</v>
      </c>
      <c r="O145" s="4">
        <f t="shared" si="44"/>
        <v>62.675999999999974</v>
      </c>
      <c r="P145">
        <f t="shared" si="45"/>
        <v>55.712000000000053</v>
      </c>
      <c r="Q145">
        <f t="shared" si="46"/>
        <v>48.748000000000012</v>
      </c>
      <c r="R145">
        <f t="shared" si="47"/>
        <v>41.784000000000013</v>
      </c>
    </row>
    <row r="146" ht="14.25">
      <c r="A146">
        <v>913974</v>
      </c>
      <c r="B146">
        <v>-10</v>
      </c>
      <c r="C146">
        <v>70.530000000000001</v>
      </c>
      <c r="D146">
        <v>60</v>
      </c>
      <c r="E146">
        <v>37.799999999999997</v>
      </c>
      <c r="F146">
        <f t="shared" si="36"/>
        <v>15.199999999999999</v>
      </c>
      <c r="G146">
        <f t="shared" si="37"/>
        <v>37.700000000000003</v>
      </c>
      <c r="H146">
        <v>37.5</v>
      </c>
      <c r="I146">
        <f t="shared" si="38"/>
        <v>16.600000000000001</v>
      </c>
      <c r="J146">
        <f t="shared" si="39"/>
        <v>-0.29999999999999716</v>
      </c>
      <c r="K146">
        <f t="shared" si="40"/>
        <v>-5.3999999999999486e-002</v>
      </c>
      <c r="L146">
        <f t="shared" si="41"/>
        <v>-4.7999999999999543e-002</v>
      </c>
      <c r="M146">
        <f t="shared" si="42"/>
        <v>-4.1999999999999607e-002</v>
      </c>
      <c r="N146">
        <f t="shared" si="43"/>
        <v>-3.5999999999999657e-002</v>
      </c>
      <c r="O146" s="4">
        <f t="shared" si="44"/>
        <v>62.603999999999971</v>
      </c>
      <c r="P146">
        <f t="shared" si="45"/>
        <v>55.648000000000053</v>
      </c>
      <c r="Q146">
        <f t="shared" si="46"/>
        <v>48.692000000000014</v>
      </c>
      <c r="R146">
        <f t="shared" si="47"/>
        <v>41.736000000000011</v>
      </c>
    </row>
    <row r="147" ht="14.25">
      <c r="A147">
        <v>920278</v>
      </c>
      <c r="B147">
        <v>-6</v>
      </c>
      <c r="C147">
        <v>70.469999999999999</v>
      </c>
      <c r="D147">
        <v>64</v>
      </c>
      <c r="E147">
        <v>37.799999999999997</v>
      </c>
      <c r="F147">
        <f t="shared" si="36"/>
        <v>15.300000000000001</v>
      </c>
      <c r="G147">
        <f t="shared" si="37"/>
        <v>40.299999999999997</v>
      </c>
      <c r="H147">
        <v>37.5</v>
      </c>
      <c r="I147">
        <f t="shared" si="38"/>
        <v>17.699999999999999</v>
      </c>
      <c r="J147">
        <f t="shared" si="39"/>
        <v>-0.29999999999999716</v>
      </c>
      <c r="K147">
        <f t="shared" si="40"/>
        <v>-5.3999999999999486e-002</v>
      </c>
      <c r="L147">
        <f t="shared" si="41"/>
        <v>-4.7999999999999543e-002</v>
      </c>
      <c r="M147">
        <f t="shared" si="42"/>
        <v>-4.1999999999999607e-002</v>
      </c>
      <c r="N147">
        <f t="shared" si="43"/>
        <v>-3.5999999999999657e-002</v>
      </c>
      <c r="O147" s="4">
        <f t="shared" si="44"/>
        <v>62.549999999999969</v>
      </c>
      <c r="P147">
        <f t="shared" si="45"/>
        <v>55.600000000000051</v>
      </c>
      <c r="Q147">
        <f t="shared" si="46"/>
        <v>48.650000000000013</v>
      </c>
      <c r="R147">
        <f t="shared" si="47"/>
        <v>41.70000000000001</v>
      </c>
    </row>
    <row r="148" ht="14.25">
      <c r="A148">
        <v>926580</v>
      </c>
      <c r="B148">
        <v>-3.3300000000000001</v>
      </c>
      <c r="C148">
        <v>70.439999999999998</v>
      </c>
      <c r="D148">
        <v>67</v>
      </c>
      <c r="E148">
        <v>37.600000000000001</v>
      </c>
      <c r="F148">
        <f t="shared" si="36"/>
        <v>15.4</v>
      </c>
      <c r="G148">
        <f t="shared" si="37"/>
        <v>42.100000000000001</v>
      </c>
      <c r="H148">
        <v>37.5</v>
      </c>
      <c r="I148">
        <f t="shared" si="38"/>
        <v>18.5</v>
      </c>
      <c r="J148">
        <f t="shared" si="39"/>
        <v>-0.10000000000000142</v>
      </c>
      <c r="K148">
        <f t="shared" si="40"/>
        <v>-1.8000000000000255e-002</v>
      </c>
      <c r="L148">
        <f t="shared" si="41"/>
        <v>-1.6000000000000229e-002</v>
      </c>
      <c r="M148">
        <f t="shared" si="42"/>
        <v>-1.40000000000002e-002</v>
      </c>
      <c r="N148">
        <f t="shared" si="43"/>
        <v>-1.200000000000017e-002</v>
      </c>
      <c r="O148" s="4">
        <f t="shared" si="44"/>
        <v>62.495999999999967</v>
      </c>
      <c r="P148">
        <f t="shared" si="45"/>
        <v>55.552000000000049</v>
      </c>
      <c r="Q148">
        <f t="shared" si="46"/>
        <v>48.608000000000011</v>
      </c>
      <c r="R148">
        <f t="shared" si="47"/>
        <v>41.664000000000009</v>
      </c>
    </row>
    <row r="149" ht="14.25">
      <c r="A149">
        <v>932884</v>
      </c>
      <c r="B149">
        <v>-6</v>
      </c>
      <c r="C149">
        <v>70.379999999999995</v>
      </c>
      <c r="D149">
        <v>64</v>
      </c>
      <c r="E149">
        <v>37.799999999999997</v>
      </c>
      <c r="F149">
        <f t="shared" si="36"/>
        <v>15.5</v>
      </c>
      <c r="G149">
        <f t="shared" si="37"/>
        <v>40.299999999999997</v>
      </c>
      <c r="H149">
        <v>37.5</v>
      </c>
      <c r="I149">
        <f t="shared" si="38"/>
        <v>17.699999999999999</v>
      </c>
      <c r="J149">
        <f t="shared" si="39"/>
        <v>-0.29999999999999716</v>
      </c>
      <c r="K149">
        <f t="shared" si="40"/>
        <v>-5.3999999999999486e-002</v>
      </c>
      <c r="L149">
        <f t="shared" si="41"/>
        <v>-4.7999999999999543e-002</v>
      </c>
      <c r="M149">
        <f t="shared" si="42"/>
        <v>-4.1999999999999607e-002</v>
      </c>
      <c r="N149">
        <f t="shared" si="43"/>
        <v>-3.5999999999999657e-002</v>
      </c>
      <c r="O149" s="4">
        <f t="shared" si="44"/>
        <v>62.477999999999966</v>
      </c>
      <c r="P149">
        <f t="shared" si="45"/>
        <v>55.536000000000051</v>
      </c>
      <c r="Q149">
        <f t="shared" si="46"/>
        <v>48.594000000000008</v>
      </c>
      <c r="R149">
        <f t="shared" si="47"/>
        <v>41.652000000000008</v>
      </c>
    </row>
    <row r="150" ht="14.25">
      <c r="A150">
        <v>939188</v>
      </c>
      <c r="B150">
        <v>-3.3300000000000001</v>
      </c>
      <c r="C150">
        <v>70.349999999999994</v>
      </c>
      <c r="D150">
        <v>67</v>
      </c>
      <c r="E150">
        <v>37.700000000000003</v>
      </c>
      <c r="F150">
        <f t="shared" si="36"/>
        <v>15.699999999999999</v>
      </c>
      <c r="G150">
        <f t="shared" si="37"/>
        <v>42.100000000000001</v>
      </c>
      <c r="H150">
        <v>37.5</v>
      </c>
      <c r="I150">
        <f t="shared" si="38"/>
        <v>18.5</v>
      </c>
      <c r="J150">
        <f t="shared" si="39"/>
        <v>-0.20000000000000284</v>
      </c>
      <c r="K150">
        <f t="shared" si="40"/>
        <v>-3.6000000000000511e-002</v>
      </c>
      <c r="L150">
        <f t="shared" si="41"/>
        <v>-3.2000000000000459e-002</v>
      </c>
      <c r="M150">
        <f t="shared" si="42"/>
        <v>-2.80000000000004e-002</v>
      </c>
      <c r="N150">
        <f t="shared" si="43"/>
        <v>-2.4000000000000341e-002</v>
      </c>
      <c r="O150" s="4">
        <f t="shared" si="44"/>
        <v>62.423999999999964</v>
      </c>
      <c r="P150">
        <f t="shared" si="45"/>
        <v>55.488000000000049</v>
      </c>
      <c r="Q150">
        <f t="shared" si="46"/>
        <v>48.552000000000007</v>
      </c>
      <c r="R150">
        <f t="shared" si="47"/>
        <v>41.616000000000007</v>
      </c>
    </row>
    <row r="151" ht="14.25">
      <c r="A151">
        <v>945491</v>
      </c>
      <c r="B151">
        <v>-2</v>
      </c>
      <c r="C151">
        <v>70.329999999999998</v>
      </c>
      <c r="D151">
        <v>68</v>
      </c>
      <c r="E151">
        <v>37.899999999999999</v>
      </c>
      <c r="F151">
        <f t="shared" si="36"/>
        <v>15.800000000000001</v>
      </c>
      <c r="G151">
        <f t="shared" si="37"/>
        <v>42.799999999999997</v>
      </c>
      <c r="H151">
        <v>37.5</v>
      </c>
      <c r="I151">
        <f t="shared" si="38"/>
        <v>18.800000000000001</v>
      </c>
      <c r="J151">
        <f t="shared" si="39"/>
        <v>-0.39999999999999858</v>
      </c>
      <c r="K151">
        <f t="shared" si="40"/>
        <v>-7.1999999999999745e-002</v>
      </c>
      <c r="L151">
        <f t="shared" si="41"/>
        <v>-6.3999999999999779e-002</v>
      </c>
      <c r="M151">
        <f t="shared" si="42"/>
        <v>-5.5999999999999807e-002</v>
      </c>
      <c r="N151">
        <f t="shared" si="43"/>
        <v>-4.7999999999999828e-002</v>
      </c>
      <c r="O151" s="4">
        <f t="shared" si="44"/>
        <v>62.387999999999963</v>
      </c>
      <c r="P151">
        <f t="shared" si="45"/>
        <v>55.456000000000046</v>
      </c>
      <c r="Q151">
        <f t="shared" si="46"/>
        <v>48.524000000000008</v>
      </c>
      <c r="R151">
        <f t="shared" si="47"/>
        <v>41.592000000000006</v>
      </c>
    </row>
    <row r="152" ht="14.25">
      <c r="A152">
        <v>951795</v>
      </c>
      <c r="B152">
        <v>0.67000000000000004</v>
      </c>
      <c r="C152">
        <v>70.329999999999998</v>
      </c>
      <c r="D152">
        <v>70</v>
      </c>
      <c r="E152">
        <v>37.5</v>
      </c>
      <c r="F152">
        <f t="shared" si="36"/>
        <v>15.9</v>
      </c>
      <c r="G152">
        <f t="shared" si="37"/>
        <v>44</v>
      </c>
      <c r="H152">
        <v>37.5</v>
      </c>
      <c r="I152">
        <f t="shared" si="38"/>
        <v>19.399999999999999</v>
      </c>
      <c r="J152">
        <f t="shared" si="39"/>
        <v>0</v>
      </c>
      <c r="K152">
        <f t="shared" si="40"/>
        <v>0</v>
      </c>
      <c r="L152">
        <f t="shared" si="41"/>
        <v>0</v>
      </c>
      <c r="M152">
        <f t="shared" si="42"/>
        <v>0</v>
      </c>
      <c r="N152">
        <f t="shared" si="43"/>
        <v>0</v>
      </c>
      <c r="O152" s="4">
        <f t="shared" si="44"/>
        <v>62.31599999999996</v>
      </c>
      <c r="P152">
        <f t="shared" si="45"/>
        <v>55.392000000000046</v>
      </c>
      <c r="Q152">
        <f t="shared" si="46"/>
        <v>48.468000000000011</v>
      </c>
      <c r="R152">
        <f t="shared" si="47"/>
        <v>41.544000000000004</v>
      </c>
    </row>
    <row r="153" ht="14.25">
      <c r="A153">
        <v>958098</v>
      </c>
      <c r="B153">
        <v>-1.3300000000000001</v>
      </c>
      <c r="C153">
        <v>70.319999999999993</v>
      </c>
      <c r="D153">
        <v>68</v>
      </c>
      <c r="E153">
        <v>37.5</v>
      </c>
      <c r="F153">
        <f t="shared" si="36"/>
        <v>16</v>
      </c>
      <c r="G153">
        <f t="shared" si="37"/>
        <v>42.799999999999997</v>
      </c>
      <c r="H153">
        <v>37.5</v>
      </c>
      <c r="I153">
        <f t="shared" si="38"/>
        <v>18.800000000000001</v>
      </c>
      <c r="J153">
        <f t="shared" si="39"/>
        <v>0</v>
      </c>
      <c r="K153">
        <f t="shared" si="40"/>
        <v>0</v>
      </c>
      <c r="L153">
        <f t="shared" si="41"/>
        <v>0</v>
      </c>
      <c r="M153">
        <f t="shared" si="42"/>
        <v>0</v>
      </c>
      <c r="N153">
        <f t="shared" si="43"/>
        <v>0</v>
      </c>
      <c r="O153" s="4">
        <f t="shared" si="44"/>
        <v>62.31599999999996</v>
      </c>
      <c r="P153">
        <f t="shared" si="45"/>
        <v>55.392000000000046</v>
      </c>
      <c r="Q153">
        <f t="shared" si="46"/>
        <v>48.468000000000011</v>
      </c>
      <c r="R153">
        <f t="shared" si="47"/>
        <v>41.544000000000004</v>
      </c>
    </row>
    <row r="154" ht="14.25">
      <c r="A154">
        <v>964402</v>
      </c>
      <c r="B154">
        <v>4</v>
      </c>
      <c r="C154">
        <v>70.359999999999999</v>
      </c>
      <c r="D154">
        <v>74</v>
      </c>
      <c r="E154">
        <v>37.399999999999999</v>
      </c>
      <c r="F154">
        <f t="shared" si="36"/>
        <v>16.100000000000001</v>
      </c>
      <c r="G154">
        <f t="shared" si="37"/>
        <v>46.5</v>
      </c>
      <c r="H154">
        <v>37.5</v>
      </c>
      <c r="I154">
        <f t="shared" si="38"/>
        <v>20.5</v>
      </c>
      <c r="J154">
        <f t="shared" si="39"/>
        <v>0.10000000000000142</v>
      </c>
      <c r="K154">
        <f t="shared" si="40"/>
        <v>1.8000000000000255e-002</v>
      </c>
      <c r="L154">
        <f t="shared" si="41"/>
        <v>1.6000000000000229e-002</v>
      </c>
      <c r="M154">
        <f t="shared" si="42"/>
        <v>1.40000000000002e-002</v>
      </c>
      <c r="N154">
        <f t="shared" si="43"/>
        <v>1.200000000000017e-002</v>
      </c>
      <c r="O154" s="4">
        <f t="shared" si="44"/>
        <v>62.31599999999996</v>
      </c>
      <c r="P154">
        <f t="shared" si="45"/>
        <v>55.392000000000046</v>
      </c>
      <c r="Q154">
        <f t="shared" si="46"/>
        <v>48.468000000000011</v>
      </c>
      <c r="R154">
        <f t="shared" si="47"/>
        <v>41.544000000000004</v>
      </c>
    </row>
    <row r="155" ht="14.25">
      <c r="A155">
        <v>970704</v>
      </c>
      <c r="B155">
        <v>1.3300000000000001</v>
      </c>
      <c r="C155">
        <v>70.370000000000005</v>
      </c>
      <c r="D155">
        <v>71</v>
      </c>
      <c r="E155">
        <v>37.399999999999999</v>
      </c>
      <c r="F155">
        <f t="shared" si="36"/>
        <v>16.199999999999999</v>
      </c>
      <c r="G155">
        <f t="shared" si="37"/>
        <v>44.700000000000003</v>
      </c>
      <c r="H155">
        <v>37.5</v>
      </c>
      <c r="I155">
        <f t="shared" si="38"/>
        <v>19.600000000000001</v>
      </c>
      <c r="J155">
        <f t="shared" si="39"/>
        <v>0.10000000000000142</v>
      </c>
      <c r="K155">
        <f t="shared" si="40"/>
        <v>1.8000000000000255e-002</v>
      </c>
      <c r="L155">
        <f t="shared" si="41"/>
        <v>1.6000000000000229e-002</v>
      </c>
      <c r="M155">
        <f t="shared" si="42"/>
        <v>1.40000000000002e-002</v>
      </c>
      <c r="N155">
        <f t="shared" si="43"/>
        <v>1.200000000000017e-002</v>
      </c>
      <c r="O155" s="4">
        <f t="shared" si="44"/>
        <v>62.333999999999961</v>
      </c>
      <c r="P155">
        <f t="shared" si="45"/>
        <v>55.408000000000044</v>
      </c>
      <c r="Q155">
        <f t="shared" si="46"/>
        <v>48.482000000000014</v>
      </c>
      <c r="R155">
        <f t="shared" si="47"/>
        <v>41.556000000000004</v>
      </c>
    </row>
    <row r="156" ht="14.25">
      <c r="A156">
        <v>977007</v>
      </c>
      <c r="B156">
        <v>2.6699999999999999</v>
      </c>
      <c r="C156">
        <v>70.400000000000006</v>
      </c>
      <c r="D156">
        <v>73</v>
      </c>
      <c r="E156">
        <v>37.399999999999999</v>
      </c>
      <c r="F156">
        <f t="shared" si="36"/>
        <v>16.300000000000001</v>
      </c>
      <c r="G156">
        <f t="shared" si="37"/>
        <v>45.899999999999999</v>
      </c>
      <c r="H156">
        <v>37.5</v>
      </c>
      <c r="I156">
        <f t="shared" si="38"/>
        <v>20.199999999999999</v>
      </c>
      <c r="J156">
        <f t="shared" si="39"/>
        <v>0.10000000000000142</v>
      </c>
      <c r="K156">
        <f t="shared" si="40"/>
        <v>1.8000000000000255e-002</v>
      </c>
      <c r="L156">
        <f t="shared" si="41"/>
        <v>1.6000000000000229e-002</v>
      </c>
      <c r="M156">
        <f t="shared" si="42"/>
        <v>1.40000000000002e-002</v>
      </c>
      <c r="N156">
        <f t="shared" si="43"/>
        <v>1.200000000000017e-002</v>
      </c>
      <c r="O156" s="4">
        <f t="shared" si="44"/>
        <v>62.351999999999961</v>
      </c>
      <c r="P156">
        <f t="shared" si="45"/>
        <v>55.424000000000042</v>
      </c>
      <c r="Q156">
        <f t="shared" si="46"/>
        <v>48.496000000000016</v>
      </c>
      <c r="R156">
        <f t="shared" si="47"/>
        <v>41.568000000000005</v>
      </c>
    </row>
    <row r="157" ht="14.25">
      <c r="A157">
        <v>983310</v>
      </c>
      <c r="B157">
        <v>2</v>
      </c>
      <c r="C157">
        <v>70.420000000000002</v>
      </c>
      <c r="D157">
        <v>72</v>
      </c>
      <c r="E157">
        <v>37.200000000000003</v>
      </c>
      <c r="F157">
        <f t="shared" si="36"/>
        <v>16.399999999999999</v>
      </c>
      <c r="G157">
        <f t="shared" si="37"/>
        <v>45.299999999999997</v>
      </c>
      <c r="H157">
        <v>37.5</v>
      </c>
      <c r="I157">
        <f t="shared" si="38"/>
        <v>19.899999999999999</v>
      </c>
      <c r="J157">
        <f t="shared" si="39"/>
        <v>0.29999999999999716</v>
      </c>
      <c r="K157">
        <f t="shared" si="40"/>
        <v>5.3999999999999486e-002</v>
      </c>
      <c r="L157">
        <f t="shared" si="41"/>
        <v>4.7999999999999543e-002</v>
      </c>
      <c r="M157">
        <f t="shared" si="42"/>
        <v>4.1999999999999607e-002</v>
      </c>
      <c r="N157">
        <f t="shared" si="43"/>
        <v>3.5999999999999657e-002</v>
      </c>
      <c r="O157" s="4">
        <f t="shared" si="44"/>
        <v>62.369999999999962</v>
      </c>
      <c r="P157">
        <f t="shared" si="45"/>
        <v>55.44000000000004</v>
      </c>
      <c r="Q157">
        <f t="shared" si="46"/>
        <v>48.510000000000019</v>
      </c>
      <c r="R157">
        <f t="shared" si="47"/>
        <v>41.580000000000005</v>
      </c>
    </row>
    <row r="158" ht="14.25">
      <c r="A158">
        <v>989614</v>
      </c>
      <c r="B158">
        <v>5.3300000000000001</v>
      </c>
      <c r="C158">
        <v>70.469999999999999</v>
      </c>
      <c r="D158">
        <v>75</v>
      </c>
      <c r="E158">
        <v>37.299999999999997</v>
      </c>
      <c r="F158">
        <f t="shared" si="36"/>
        <v>16.5</v>
      </c>
      <c r="G158">
        <f t="shared" si="37"/>
        <v>47.200000000000003</v>
      </c>
      <c r="H158">
        <v>37.5</v>
      </c>
      <c r="I158">
        <f t="shared" si="38"/>
        <v>20.800000000000001</v>
      </c>
      <c r="J158">
        <f t="shared" si="39"/>
        <v>0.20000000000000284</v>
      </c>
      <c r="K158">
        <f t="shared" si="40"/>
        <v>3.6000000000000511e-002</v>
      </c>
      <c r="L158">
        <f t="shared" si="41"/>
        <v>3.2000000000000459e-002</v>
      </c>
      <c r="M158">
        <f t="shared" si="42"/>
        <v>2.80000000000004e-002</v>
      </c>
      <c r="N158">
        <f t="shared" si="43"/>
        <v>2.4000000000000341e-002</v>
      </c>
      <c r="O158" s="4">
        <f t="shared" si="44"/>
        <v>62.423999999999964</v>
      </c>
      <c r="P158">
        <f t="shared" si="45"/>
        <v>55.488000000000042</v>
      </c>
      <c r="Q158">
        <f t="shared" si="46"/>
        <v>48.552000000000021</v>
      </c>
      <c r="R158">
        <f t="shared" si="47"/>
        <v>41.616000000000007</v>
      </c>
    </row>
    <row r="159" ht="14.25">
      <c r="A159">
        <v>995916</v>
      </c>
      <c r="B159">
        <v>2</v>
      </c>
      <c r="C159">
        <v>70.489999999999995</v>
      </c>
      <c r="D159">
        <v>72</v>
      </c>
      <c r="E159">
        <v>37.299999999999997</v>
      </c>
      <c r="F159">
        <f t="shared" si="36"/>
        <v>16.600000000000001</v>
      </c>
      <c r="G159">
        <f t="shared" si="37"/>
        <v>45.299999999999997</v>
      </c>
      <c r="H159">
        <v>37.5</v>
      </c>
      <c r="I159">
        <f t="shared" si="38"/>
        <v>19.899999999999999</v>
      </c>
      <c r="J159">
        <f t="shared" si="39"/>
        <v>0.20000000000000284</v>
      </c>
      <c r="K159">
        <f t="shared" si="40"/>
        <v>3.6000000000000511e-002</v>
      </c>
      <c r="L159">
        <f t="shared" si="41"/>
        <v>3.2000000000000459e-002</v>
      </c>
      <c r="M159">
        <f t="shared" si="42"/>
        <v>2.80000000000004e-002</v>
      </c>
      <c r="N159">
        <f t="shared" si="43"/>
        <v>2.4000000000000341e-002</v>
      </c>
      <c r="O159" s="4">
        <f t="shared" si="44"/>
        <v>62.459999999999965</v>
      </c>
      <c r="P159">
        <f t="shared" si="45"/>
        <v>55.520000000000046</v>
      </c>
      <c r="Q159">
        <f t="shared" si="46"/>
        <v>48.58000000000002</v>
      </c>
      <c r="R159">
        <f t="shared" si="47"/>
        <v>41.640000000000008</v>
      </c>
    </row>
    <row r="160" ht="14.25">
      <c r="A160">
        <v>1002219</v>
      </c>
      <c r="B160">
        <v>4.6699999999999999</v>
      </c>
      <c r="C160">
        <v>70.540000000000006</v>
      </c>
      <c r="D160">
        <v>75</v>
      </c>
      <c r="E160">
        <v>37.200000000000003</v>
      </c>
      <c r="F160">
        <f t="shared" si="36"/>
        <v>16.699999999999999</v>
      </c>
      <c r="G160">
        <f t="shared" si="37"/>
        <v>47.200000000000003</v>
      </c>
      <c r="H160">
        <v>37.5</v>
      </c>
      <c r="I160">
        <f t="shared" si="38"/>
        <v>20.800000000000001</v>
      </c>
      <c r="J160">
        <f t="shared" si="39"/>
        <v>0.29999999999999716</v>
      </c>
      <c r="K160">
        <f t="shared" si="40"/>
        <v>5.3999999999999486e-002</v>
      </c>
      <c r="L160">
        <f t="shared" si="41"/>
        <v>4.7999999999999543e-002</v>
      </c>
      <c r="M160">
        <f t="shared" si="42"/>
        <v>4.1999999999999607e-002</v>
      </c>
      <c r="N160">
        <f t="shared" si="43"/>
        <v>3.5999999999999657e-002</v>
      </c>
      <c r="O160" s="4">
        <f t="shared" si="44"/>
        <v>62.495999999999967</v>
      </c>
      <c r="P160">
        <f t="shared" si="45"/>
        <v>55.552000000000049</v>
      </c>
      <c r="Q160">
        <f t="shared" si="46"/>
        <v>48.608000000000018</v>
      </c>
      <c r="R160">
        <f t="shared" si="47"/>
        <v>41.664000000000009</v>
      </c>
    </row>
    <row r="161" ht="14.25">
      <c r="A161">
        <v>1008522</v>
      </c>
      <c r="B161">
        <v>6</v>
      </c>
      <c r="C161">
        <v>70.599999999999994</v>
      </c>
      <c r="D161">
        <v>76</v>
      </c>
      <c r="E161">
        <v>37.200000000000003</v>
      </c>
      <c r="F161">
        <f t="shared" si="36"/>
        <v>16.800000000000001</v>
      </c>
      <c r="G161">
        <f t="shared" si="37"/>
        <v>47.799999999999997</v>
      </c>
      <c r="H161">
        <v>37.5</v>
      </c>
      <c r="I161">
        <f t="shared" si="38"/>
        <v>21</v>
      </c>
      <c r="J161">
        <f t="shared" si="39"/>
        <v>0.29999999999999716</v>
      </c>
      <c r="K161">
        <f t="shared" si="40"/>
        <v>5.3999999999999486e-002</v>
      </c>
      <c r="L161">
        <f t="shared" si="41"/>
        <v>4.7999999999999543e-002</v>
      </c>
      <c r="M161">
        <f t="shared" si="42"/>
        <v>4.1999999999999607e-002</v>
      </c>
      <c r="N161">
        <f t="shared" si="43"/>
        <v>3.5999999999999657e-002</v>
      </c>
      <c r="O161" s="4">
        <f t="shared" si="44"/>
        <v>62.549999999999969</v>
      </c>
      <c r="P161">
        <f t="shared" si="45"/>
        <v>55.600000000000051</v>
      </c>
      <c r="Q161">
        <f t="shared" si="46"/>
        <v>48.65000000000002</v>
      </c>
      <c r="R161">
        <f t="shared" si="47"/>
        <v>41.70000000000001</v>
      </c>
    </row>
    <row r="162" ht="14.25">
      <c r="A162">
        <v>1014825</v>
      </c>
      <c r="B162">
        <v>7.3300000000000001</v>
      </c>
      <c r="C162">
        <v>70.670000000000002</v>
      </c>
      <c r="D162">
        <v>78</v>
      </c>
      <c r="E162">
        <v>37.100000000000001</v>
      </c>
      <c r="F162">
        <f t="shared" si="36"/>
        <v>16.899999999999999</v>
      </c>
      <c r="G162">
        <f t="shared" si="37"/>
        <v>49.100000000000001</v>
      </c>
      <c r="H162">
        <v>37.5</v>
      </c>
      <c r="I162">
        <f t="shared" si="38"/>
        <v>21.600000000000001</v>
      </c>
      <c r="J162">
        <f t="shared" si="39"/>
        <v>0.39999999999999858</v>
      </c>
      <c r="K162">
        <f t="shared" si="40"/>
        <v>7.1999999999999745e-002</v>
      </c>
      <c r="L162">
        <f t="shared" si="41"/>
        <v>6.3999999999999779e-002</v>
      </c>
      <c r="M162">
        <f t="shared" si="42"/>
        <v>5.5999999999999807e-002</v>
      </c>
      <c r="N162">
        <f t="shared" si="43"/>
        <v>4.7999999999999828e-002</v>
      </c>
      <c r="O162" s="4">
        <f t="shared" si="44"/>
        <v>62.603999999999971</v>
      </c>
      <c r="P162">
        <f t="shared" si="45"/>
        <v>55.648000000000053</v>
      </c>
      <c r="Q162">
        <f t="shared" si="46"/>
        <v>48.692000000000021</v>
      </c>
      <c r="R162">
        <f t="shared" si="47"/>
        <v>41.736000000000011</v>
      </c>
    </row>
    <row r="163" ht="14.25">
      <c r="A163">
        <v>1021129</v>
      </c>
      <c r="B163">
        <v>12</v>
      </c>
      <c r="C163">
        <v>70.790000000000006</v>
      </c>
      <c r="D163">
        <v>82</v>
      </c>
      <c r="E163">
        <v>37</v>
      </c>
      <c r="F163">
        <f t="shared" si="36"/>
        <v>17</v>
      </c>
      <c r="G163">
        <f t="shared" si="37"/>
        <v>51.600000000000001</v>
      </c>
      <c r="H163">
        <v>37.5</v>
      </c>
      <c r="I163">
        <f t="shared" si="38"/>
        <v>22.699999999999999</v>
      </c>
      <c r="J163">
        <f t="shared" si="39"/>
        <v>0.5</v>
      </c>
      <c r="K163">
        <f t="shared" si="40"/>
        <v>8.9999999999999997e-002</v>
      </c>
      <c r="L163">
        <f t="shared" si="41"/>
        <v>8.0000000000000002e-002</v>
      </c>
      <c r="M163">
        <f t="shared" si="42"/>
        <v>7.0000000000000007e-002</v>
      </c>
      <c r="N163">
        <f t="shared" si="43"/>
        <v>5.9999999999999998e-002</v>
      </c>
      <c r="O163" s="4">
        <f t="shared" si="44"/>
        <v>62.675999999999974</v>
      </c>
      <c r="P163">
        <f t="shared" si="45"/>
        <v>55.712000000000053</v>
      </c>
      <c r="Q163">
        <f t="shared" si="46"/>
        <v>48.748000000000019</v>
      </c>
      <c r="R163">
        <f t="shared" si="47"/>
        <v>41.784000000000013</v>
      </c>
    </row>
    <row r="164" ht="14.25">
      <c r="A164">
        <v>1027433</v>
      </c>
      <c r="B164">
        <v>9.3300000000000001</v>
      </c>
      <c r="C164">
        <v>70.890000000000001</v>
      </c>
      <c r="D164">
        <v>80</v>
      </c>
      <c r="E164">
        <v>36.899999999999999</v>
      </c>
      <c r="F164">
        <f t="shared" ref="F164:F227" si="48">ROUND(A164/60000,1)</f>
        <v>17.100000000000001</v>
      </c>
      <c r="G164">
        <f t="shared" ref="G164:G227" si="49">ROUND((D164/159)*100,1)</f>
        <v>50.299999999999997</v>
      </c>
      <c r="H164">
        <v>37.5</v>
      </c>
      <c r="I164">
        <f t="shared" ref="I164:I227" si="50">ROUND((D164/159)*44,1)</f>
        <v>22.100000000000001</v>
      </c>
      <c r="J164">
        <f t="shared" ref="J164:J227" si="51">37.5-E164</f>
        <v>0.60000000000000142</v>
      </c>
      <c r="K164">
        <f t="shared" ref="K164:K227" si="52">J164*0.18</f>
        <v>0.10800000000000025</v>
      </c>
      <c r="L164">
        <f t="shared" ref="L164:L227" si="53">J164*0.16</f>
        <v>9.6000000000000224e-002</v>
      </c>
      <c r="M164">
        <f t="shared" ref="M164:M227" si="54">J164*0.14</f>
        <v>8.4000000000000213e-002</v>
      </c>
      <c r="N164">
        <f t="shared" ref="N164:N227" si="55">J164*0.12</f>
        <v>7.2000000000000161e-002</v>
      </c>
      <c r="O164" s="4">
        <f t="shared" si="44"/>
        <v>62.765999999999977</v>
      </c>
      <c r="P164">
        <f t="shared" si="45"/>
        <v>55.792000000000051</v>
      </c>
      <c r="Q164">
        <f t="shared" si="46"/>
        <v>48.818000000000019</v>
      </c>
      <c r="R164">
        <f t="shared" si="47"/>
        <v>41.844000000000015</v>
      </c>
    </row>
    <row r="165" ht="14.25">
      <c r="A165">
        <v>1033737</v>
      </c>
      <c r="B165">
        <v>10</v>
      </c>
      <c r="C165">
        <v>70.989999999999995</v>
      </c>
      <c r="D165">
        <v>80</v>
      </c>
      <c r="E165">
        <v>37.100000000000001</v>
      </c>
      <c r="F165">
        <f t="shared" si="48"/>
        <v>17.199999999999999</v>
      </c>
      <c r="G165">
        <f t="shared" si="49"/>
        <v>50.299999999999997</v>
      </c>
      <c r="H165">
        <v>37.5</v>
      </c>
      <c r="I165">
        <f t="shared" si="50"/>
        <v>22.100000000000001</v>
      </c>
      <c r="J165">
        <f t="shared" si="51"/>
        <v>0.39999999999999858</v>
      </c>
      <c r="K165">
        <f t="shared" si="52"/>
        <v>7.1999999999999745e-002</v>
      </c>
      <c r="L165">
        <f t="shared" si="53"/>
        <v>6.3999999999999779e-002</v>
      </c>
      <c r="M165">
        <f t="shared" si="54"/>
        <v>5.5999999999999807e-002</v>
      </c>
      <c r="N165">
        <f t="shared" si="55"/>
        <v>4.7999999999999828e-002</v>
      </c>
      <c r="O165" s="4">
        <f t="shared" ref="O165:O228" si="56">O164+K164</f>
        <v>62.873999999999974</v>
      </c>
      <c r="P165">
        <f t="shared" ref="P165:P228" si="57">P164+L164</f>
        <v>55.888000000000055</v>
      </c>
      <c r="Q165">
        <f t="shared" ref="Q165:Q228" si="58">Q164+M164</f>
        <v>48.902000000000022</v>
      </c>
      <c r="R165">
        <f t="shared" ref="R165:R228" si="59">R164+N164</f>
        <v>41.916000000000018</v>
      </c>
    </row>
    <row r="166" ht="14.25">
      <c r="A166">
        <v>1040040</v>
      </c>
      <c r="B166">
        <v>10</v>
      </c>
      <c r="C166">
        <v>71.090000000000003</v>
      </c>
      <c r="D166">
        <v>81</v>
      </c>
      <c r="E166">
        <v>36.899999999999999</v>
      </c>
      <c r="F166">
        <f t="shared" si="48"/>
        <v>17.300000000000001</v>
      </c>
      <c r="G166">
        <f t="shared" si="49"/>
        <v>50.899999999999999</v>
      </c>
      <c r="H166">
        <v>37.5</v>
      </c>
      <c r="I166">
        <f t="shared" si="50"/>
        <v>22.399999999999999</v>
      </c>
      <c r="J166">
        <f t="shared" si="51"/>
        <v>0.60000000000000142</v>
      </c>
      <c r="K166">
        <f t="shared" si="52"/>
        <v>0.10800000000000025</v>
      </c>
      <c r="L166">
        <f t="shared" si="53"/>
        <v>9.6000000000000224e-002</v>
      </c>
      <c r="M166">
        <f t="shared" si="54"/>
        <v>8.4000000000000213e-002</v>
      </c>
      <c r="N166">
        <f t="shared" si="55"/>
        <v>7.2000000000000161e-002</v>
      </c>
      <c r="O166" s="4">
        <f t="shared" si="56"/>
        <v>62.945999999999977</v>
      </c>
      <c r="P166">
        <f t="shared" si="57"/>
        <v>55.952000000000055</v>
      </c>
      <c r="Q166">
        <f t="shared" si="58"/>
        <v>48.95800000000002</v>
      </c>
      <c r="R166">
        <f t="shared" si="59"/>
        <v>41.96400000000002</v>
      </c>
    </row>
    <row r="167" ht="14.25">
      <c r="A167">
        <v>1046343</v>
      </c>
      <c r="B167">
        <v>10.67</v>
      </c>
      <c r="C167">
        <v>71.189999999999998</v>
      </c>
      <c r="D167">
        <v>81</v>
      </c>
      <c r="E167">
        <v>37.100000000000001</v>
      </c>
      <c r="F167">
        <f t="shared" si="48"/>
        <v>17.399999999999999</v>
      </c>
      <c r="G167">
        <f t="shared" si="49"/>
        <v>50.899999999999999</v>
      </c>
      <c r="H167">
        <v>37.5</v>
      </c>
      <c r="I167">
        <f t="shared" si="50"/>
        <v>22.399999999999999</v>
      </c>
      <c r="J167">
        <f t="shared" si="51"/>
        <v>0.39999999999999858</v>
      </c>
      <c r="K167">
        <f t="shared" si="52"/>
        <v>7.1999999999999745e-002</v>
      </c>
      <c r="L167">
        <f t="shared" si="53"/>
        <v>6.3999999999999779e-002</v>
      </c>
      <c r="M167">
        <f t="shared" si="54"/>
        <v>5.5999999999999807e-002</v>
      </c>
      <c r="N167">
        <f t="shared" si="55"/>
        <v>4.7999999999999828e-002</v>
      </c>
      <c r="O167" s="4">
        <f t="shared" si="56"/>
        <v>63.053999999999974</v>
      </c>
      <c r="P167">
        <f t="shared" si="57"/>
        <v>56.048000000000059</v>
      </c>
      <c r="Q167">
        <f t="shared" si="58"/>
        <v>49.042000000000023</v>
      </c>
      <c r="R167">
        <f t="shared" si="59"/>
        <v>42.036000000000023</v>
      </c>
    </row>
    <row r="168" ht="14.25">
      <c r="A168">
        <v>1052646</v>
      </c>
      <c r="B168">
        <v>9.3300000000000001</v>
      </c>
      <c r="C168">
        <v>71.290000000000006</v>
      </c>
      <c r="D168">
        <v>80</v>
      </c>
      <c r="E168">
        <v>37</v>
      </c>
      <c r="F168">
        <f t="shared" si="48"/>
        <v>17.5</v>
      </c>
      <c r="G168">
        <f t="shared" si="49"/>
        <v>50.299999999999997</v>
      </c>
      <c r="H168">
        <v>37.5</v>
      </c>
      <c r="I168">
        <f t="shared" si="50"/>
        <v>22.100000000000001</v>
      </c>
      <c r="J168">
        <f t="shared" si="51"/>
        <v>0.5</v>
      </c>
      <c r="K168">
        <f t="shared" si="52"/>
        <v>8.9999999999999997e-002</v>
      </c>
      <c r="L168">
        <f t="shared" si="53"/>
        <v>8.0000000000000002e-002</v>
      </c>
      <c r="M168">
        <f t="shared" si="54"/>
        <v>7.0000000000000007e-002</v>
      </c>
      <c r="N168">
        <f t="shared" si="55"/>
        <v>5.9999999999999998e-002</v>
      </c>
      <c r="O168" s="4">
        <f t="shared" si="56"/>
        <v>63.125999999999976</v>
      </c>
      <c r="P168">
        <f t="shared" si="57"/>
        <v>56.112000000000059</v>
      </c>
      <c r="Q168">
        <f t="shared" si="58"/>
        <v>49.09800000000002</v>
      </c>
      <c r="R168">
        <f t="shared" si="59"/>
        <v>42.084000000000024</v>
      </c>
    </row>
    <row r="169" ht="14.25">
      <c r="A169">
        <v>1058950</v>
      </c>
      <c r="B169">
        <v>12.67</v>
      </c>
      <c r="C169">
        <v>71.409999999999997</v>
      </c>
      <c r="D169">
        <v>84</v>
      </c>
      <c r="E169">
        <v>36.799999999999997</v>
      </c>
      <c r="F169">
        <f t="shared" si="48"/>
        <v>17.600000000000001</v>
      </c>
      <c r="G169">
        <f t="shared" si="49"/>
        <v>52.799999999999997</v>
      </c>
      <c r="H169">
        <v>37.5</v>
      </c>
      <c r="I169">
        <f t="shared" si="50"/>
        <v>23.199999999999999</v>
      </c>
      <c r="J169">
        <f t="shared" si="51"/>
        <v>0.70000000000000284</v>
      </c>
      <c r="K169">
        <f t="shared" si="52"/>
        <v>0.1260000000000005</v>
      </c>
      <c r="L169">
        <f t="shared" si="53"/>
        <v>0.11200000000000046</v>
      </c>
      <c r="M169">
        <f t="shared" si="54"/>
        <v>9.8000000000000406e-002</v>
      </c>
      <c r="N169">
        <f t="shared" si="55"/>
        <v>8.4000000000000338e-002</v>
      </c>
      <c r="O169" s="4">
        <f t="shared" si="56"/>
        <v>63.21599999999998</v>
      </c>
      <c r="P169">
        <f t="shared" si="57"/>
        <v>56.192000000000057</v>
      </c>
      <c r="Q169">
        <f t="shared" si="58"/>
        <v>49.168000000000021</v>
      </c>
      <c r="R169">
        <f t="shared" si="59"/>
        <v>42.144000000000027</v>
      </c>
    </row>
    <row r="170" ht="14.25">
      <c r="A170">
        <v>1065252</v>
      </c>
      <c r="B170">
        <v>12</v>
      </c>
      <c r="C170">
        <v>71.530000000000001</v>
      </c>
      <c r="D170">
        <v>83</v>
      </c>
      <c r="E170">
        <v>36.899999999999999</v>
      </c>
      <c r="F170">
        <f t="shared" si="48"/>
        <v>17.800000000000001</v>
      </c>
      <c r="G170">
        <f t="shared" si="49"/>
        <v>52.200000000000003</v>
      </c>
      <c r="H170">
        <v>37.5</v>
      </c>
      <c r="I170">
        <f t="shared" si="50"/>
        <v>23</v>
      </c>
      <c r="J170">
        <f t="shared" si="51"/>
        <v>0.60000000000000142</v>
      </c>
      <c r="K170">
        <f t="shared" si="52"/>
        <v>0.10800000000000025</v>
      </c>
      <c r="L170">
        <f t="shared" si="53"/>
        <v>9.6000000000000224e-002</v>
      </c>
      <c r="M170">
        <f t="shared" si="54"/>
        <v>8.4000000000000213e-002</v>
      </c>
      <c r="N170">
        <f t="shared" si="55"/>
        <v>7.2000000000000161e-002</v>
      </c>
      <c r="O170" s="4">
        <f t="shared" si="56"/>
        <v>63.341999999999977</v>
      </c>
      <c r="P170">
        <f t="shared" si="57"/>
        <v>56.304000000000059</v>
      </c>
      <c r="Q170">
        <f t="shared" si="58"/>
        <v>49.26600000000002</v>
      </c>
      <c r="R170">
        <f t="shared" si="59"/>
        <v>42.22800000000003</v>
      </c>
    </row>
    <row r="171" ht="14.25">
      <c r="A171">
        <v>1071555</v>
      </c>
      <c r="B171">
        <v>11.33</v>
      </c>
      <c r="C171">
        <v>71.650000000000006</v>
      </c>
      <c r="D171">
        <v>82</v>
      </c>
      <c r="E171">
        <v>37.100000000000001</v>
      </c>
      <c r="F171">
        <f t="shared" si="48"/>
        <v>17.899999999999999</v>
      </c>
      <c r="G171">
        <f t="shared" si="49"/>
        <v>51.600000000000001</v>
      </c>
      <c r="H171">
        <v>37.5</v>
      </c>
      <c r="I171">
        <f t="shared" si="50"/>
        <v>22.699999999999999</v>
      </c>
      <c r="J171">
        <f t="shared" si="51"/>
        <v>0.39999999999999858</v>
      </c>
      <c r="K171">
        <f t="shared" si="52"/>
        <v>7.1999999999999745e-002</v>
      </c>
      <c r="L171">
        <f t="shared" si="53"/>
        <v>6.3999999999999779e-002</v>
      </c>
      <c r="M171">
        <f t="shared" si="54"/>
        <v>5.5999999999999807e-002</v>
      </c>
      <c r="N171">
        <f t="shared" si="55"/>
        <v>4.7999999999999828e-002</v>
      </c>
      <c r="O171" s="4">
        <f t="shared" si="56"/>
        <v>63.449999999999974</v>
      </c>
      <c r="P171">
        <f t="shared" si="57"/>
        <v>56.400000000000063</v>
      </c>
      <c r="Q171">
        <f t="shared" si="58"/>
        <v>49.350000000000023</v>
      </c>
      <c r="R171">
        <f t="shared" si="59"/>
        <v>42.300000000000033</v>
      </c>
    </row>
    <row r="172" ht="14.25">
      <c r="A172">
        <v>1077858</v>
      </c>
      <c r="B172">
        <v>13.33</v>
      </c>
      <c r="C172">
        <v>71.780000000000001</v>
      </c>
      <c r="D172">
        <v>85</v>
      </c>
      <c r="E172">
        <v>36.799999999999997</v>
      </c>
      <c r="F172">
        <f t="shared" si="48"/>
        <v>18</v>
      </c>
      <c r="G172">
        <f t="shared" si="49"/>
        <v>53.5</v>
      </c>
      <c r="H172">
        <v>37.5</v>
      </c>
      <c r="I172">
        <f t="shared" si="50"/>
        <v>23.5</v>
      </c>
      <c r="J172">
        <f t="shared" si="51"/>
        <v>0.70000000000000284</v>
      </c>
      <c r="K172">
        <f t="shared" si="52"/>
        <v>0.1260000000000005</v>
      </c>
      <c r="L172">
        <f t="shared" si="53"/>
        <v>0.11200000000000046</v>
      </c>
      <c r="M172">
        <f t="shared" si="54"/>
        <v>9.8000000000000406e-002</v>
      </c>
      <c r="N172">
        <f t="shared" si="55"/>
        <v>8.4000000000000338e-002</v>
      </c>
      <c r="O172" s="4">
        <f t="shared" si="56"/>
        <v>63.521999999999977</v>
      </c>
      <c r="P172">
        <f t="shared" si="57"/>
        <v>56.464000000000063</v>
      </c>
      <c r="Q172">
        <f t="shared" si="58"/>
        <v>49.40600000000002</v>
      </c>
      <c r="R172">
        <f t="shared" si="59"/>
        <v>42.348000000000035</v>
      </c>
    </row>
    <row r="173" ht="14.25">
      <c r="A173">
        <v>1084162</v>
      </c>
      <c r="B173">
        <v>15.33</v>
      </c>
      <c r="C173">
        <v>71.930000000000007</v>
      </c>
      <c r="D173">
        <v>87</v>
      </c>
      <c r="E173">
        <v>36.299999999999997</v>
      </c>
      <c r="F173">
        <f t="shared" si="48"/>
        <v>18.100000000000001</v>
      </c>
      <c r="G173">
        <f t="shared" si="49"/>
        <v>54.700000000000003</v>
      </c>
      <c r="H173">
        <v>37.5</v>
      </c>
      <c r="I173">
        <f t="shared" si="50"/>
        <v>24.100000000000001</v>
      </c>
      <c r="J173">
        <f t="shared" si="51"/>
        <v>1.2000000000000028</v>
      </c>
      <c r="K173">
        <f t="shared" si="52"/>
        <v>0.2160000000000005</v>
      </c>
      <c r="L173">
        <f t="shared" si="53"/>
        <v>0.19200000000000045</v>
      </c>
      <c r="M173">
        <f t="shared" si="54"/>
        <v>0.16800000000000043</v>
      </c>
      <c r="N173">
        <f t="shared" si="55"/>
        <v>0.14400000000000032</v>
      </c>
      <c r="O173" s="4">
        <f t="shared" si="56"/>
        <v>63.647999999999975</v>
      </c>
      <c r="P173">
        <f t="shared" si="57"/>
        <v>56.576000000000064</v>
      </c>
      <c r="Q173">
        <f t="shared" si="58"/>
        <v>49.504000000000019</v>
      </c>
      <c r="R173">
        <f t="shared" si="59"/>
        <v>42.432000000000038</v>
      </c>
    </row>
    <row r="174" ht="14.25">
      <c r="A174">
        <v>1090463</v>
      </c>
      <c r="B174">
        <v>14</v>
      </c>
      <c r="C174">
        <v>72.069999999999993</v>
      </c>
      <c r="D174">
        <v>86</v>
      </c>
      <c r="E174">
        <v>36.899999999999999</v>
      </c>
      <c r="F174">
        <f t="shared" si="48"/>
        <v>18.199999999999999</v>
      </c>
      <c r="G174">
        <f t="shared" si="49"/>
        <v>54.100000000000001</v>
      </c>
      <c r="H174">
        <v>37.5</v>
      </c>
      <c r="I174">
        <f t="shared" si="50"/>
        <v>23.800000000000001</v>
      </c>
      <c r="J174">
        <f t="shared" si="51"/>
        <v>0.60000000000000142</v>
      </c>
      <c r="K174">
        <f t="shared" si="52"/>
        <v>0.10800000000000025</v>
      </c>
      <c r="L174">
        <f t="shared" si="53"/>
        <v>9.6000000000000224e-002</v>
      </c>
      <c r="M174">
        <f t="shared" si="54"/>
        <v>8.4000000000000213e-002</v>
      </c>
      <c r="N174">
        <f t="shared" si="55"/>
        <v>7.2000000000000161e-002</v>
      </c>
      <c r="O174" s="4">
        <f t="shared" si="56"/>
        <v>63.863999999999976</v>
      </c>
      <c r="P174">
        <f t="shared" si="57"/>
        <v>56.768000000000065</v>
      </c>
      <c r="Q174">
        <f t="shared" si="58"/>
        <v>49.672000000000018</v>
      </c>
      <c r="R174">
        <f t="shared" si="59"/>
        <v>42.576000000000036</v>
      </c>
    </row>
    <row r="175" ht="14.25">
      <c r="A175">
        <v>1096766</v>
      </c>
      <c r="B175">
        <v>13.33</v>
      </c>
      <c r="C175">
        <v>72.209999999999994</v>
      </c>
      <c r="D175">
        <v>85</v>
      </c>
      <c r="E175">
        <v>36.899999999999999</v>
      </c>
      <c r="F175">
        <f t="shared" si="48"/>
        <v>18.300000000000001</v>
      </c>
      <c r="G175">
        <f t="shared" si="49"/>
        <v>53.5</v>
      </c>
      <c r="H175">
        <v>37.5</v>
      </c>
      <c r="I175">
        <f t="shared" si="50"/>
        <v>23.5</v>
      </c>
      <c r="J175">
        <f t="shared" si="51"/>
        <v>0.60000000000000142</v>
      </c>
      <c r="K175">
        <f t="shared" si="52"/>
        <v>0.10800000000000025</v>
      </c>
      <c r="L175">
        <f t="shared" si="53"/>
        <v>9.6000000000000224e-002</v>
      </c>
      <c r="M175">
        <f t="shared" si="54"/>
        <v>8.4000000000000213e-002</v>
      </c>
      <c r="N175">
        <f t="shared" si="55"/>
        <v>7.2000000000000161e-002</v>
      </c>
      <c r="O175" s="4">
        <f t="shared" si="56"/>
        <v>63.971999999999973</v>
      </c>
      <c r="P175">
        <f t="shared" si="57"/>
        <v>56.864000000000068</v>
      </c>
      <c r="Q175">
        <f t="shared" si="58"/>
        <v>49.756000000000022</v>
      </c>
      <c r="R175">
        <f t="shared" si="59"/>
        <v>42.648000000000039</v>
      </c>
    </row>
    <row r="176" ht="14.25">
      <c r="A176">
        <v>1103071</v>
      </c>
      <c r="B176">
        <v>14</v>
      </c>
      <c r="C176">
        <v>72.349999999999994</v>
      </c>
      <c r="D176">
        <v>86</v>
      </c>
      <c r="E176">
        <v>36.700000000000003</v>
      </c>
      <c r="F176">
        <f t="shared" si="48"/>
        <v>18.399999999999999</v>
      </c>
      <c r="G176">
        <f t="shared" si="49"/>
        <v>54.100000000000001</v>
      </c>
      <c r="H176">
        <v>37.5</v>
      </c>
      <c r="I176">
        <f t="shared" si="50"/>
        <v>23.800000000000001</v>
      </c>
      <c r="J176">
        <f t="shared" si="51"/>
        <v>0.79999999999999716</v>
      </c>
      <c r="K176">
        <f t="shared" si="52"/>
        <v>0.14399999999999949</v>
      </c>
      <c r="L176">
        <f t="shared" si="53"/>
        <v>0.12799999999999956</v>
      </c>
      <c r="M176">
        <f t="shared" si="54"/>
        <v>0.11199999999999961</v>
      </c>
      <c r="N176">
        <f t="shared" si="55"/>
        <v>9.5999999999999655e-002</v>
      </c>
      <c r="O176" s="4">
        <f t="shared" si="56"/>
        <v>64.07999999999997</v>
      </c>
      <c r="P176">
        <f t="shared" si="57"/>
        <v>56.960000000000072</v>
      </c>
      <c r="Q176">
        <f t="shared" si="58"/>
        <v>49.840000000000025</v>
      </c>
      <c r="R176">
        <f t="shared" si="59"/>
        <v>42.720000000000041</v>
      </c>
    </row>
    <row r="177" ht="14.25">
      <c r="A177">
        <v>1109374</v>
      </c>
      <c r="B177">
        <v>14.67</v>
      </c>
      <c r="C177">
        <v>72.489999999999995</v>
      </c>
      <c r="D177">
        <v>87</v>
      </c>
      <c r="E177">
        <v>36.700000000000003</v>
      </c>
      <c r="F177">
        <f t="shared" si="48"/>
        <v>18.5</v>
      </c>
      <c r="G177">
        <f t="shared" si="49"/>
        <v>54.700000000000003</v>
      </c>
      <c r="H177">
        <v>37.5</v>
      </c>
      <c r="I177">
        <f t="shared" si="50"/>
        <v>24.100000000000001</v>
      </c>
      <c r="J177">
        <f t="shared" si="51"/>
        <v>0.79999999999999716</v>
      </c>
      <c r="K177">
        <f t="shared" si="52"/>
        <v>0.14399999999999949</v>
      </c>
      <c r="L177">
        <f t="shared" si="53"/>
        <v>0.12799999999999956</v>
      </c>
      <c r="M177">
        <f t="shared" si="54"/>
        <v>0.11199999999999961</v>
      </c>
      <c r="N177">
        <f t="shared" si="55"/>
        <v>9.5999999999999655e-002</v>
      </c>
      <c r="O177" s="4">
        <f t="shared" si="56"/>
        <v>64.223999999999975</v>
      </c>
      <c r="P177">
        <f t="shared" si="57"/>
        <v>57.088000000000072</v>
      </c>
      <c r="Q177">
        <f t="shared" si="58"/>
        <v>49.952000000000027</v>
      </c>
      <c r="R177">
        <f t="shared" si="59"/>
        <v>42.816000000000038</v>
      </c>
    </row>
    <row r="178" ht="14.25">
      <c r="A178">
        <v>1115677</v>
      </c>
      <c r="B178">
        <v>14.67</v>
      </c>
      <c r="C178">
        <v>72.640000000000001</v>
      </c>
      <c r="D178">
        <v>87</v>
      </c>
      <c r="E178">
        <v>36.799999999999997</v>
      </c>
      <c r="F178">
        <f t="shared" si="48"/>
        <v>18.600000000000001</v>
      </c>
      <c r="G178">
        <f t="shared" si="49"/>
        <v>54.700000000000003</v>
      </c>
      <c r="H178">
        <v>37.5</v>
      </c>
      <c r="I178">
        <f t="shared" si="50"/>
        <v>24.100000000000001</v>
      </c>
      <c r="J178">
        <f t="shared" si="51"/>
        <v>0.70000000000000284</v>
      </c>
      <c r="K178">
        <f t="shared" si="52"/>
        <v>0.1260000000000005</v>
      </c>
      <c r="L178">
        <f t="shared" si="53"/>
        <v>0.11200000000000046</v>
      </c>
      <c r="M178">
        <f t="shared" si="54"/>
        <v>9.8000000000000406e-002</v>
      </c>
      <c r="N178">
        <f t="shared" si="55"/>
        <v>8.4000000000000338e-002</v>
      </c>
      <c r="O178" s="4">
        <f t="shared" si="56"/>
        <v>64.367999999999981</v>
      </c>
      <c r="P178">
        <f t="shared" si="57"/>
        <v>57.216000000000072</v>
      </c>
      <c r="Q178">
        <f t="shared" si="58"/>
        <v>50.064000000000028</v>
      </c>
      <c r="R178">
        <f t="shared" si="59"/>
        <v>42.912000000000035</v>
      </c>
    </row>
    <row r="179" ht="14.25">
      <c r="A179">
        <v>1121981</v>
      </c>
      <c r="B179">
        <v>15.33</v>
      </c>
      <c r="C179">
        <v>72.790000000000006</v>
      </c>
      <c r="D179">
        <v>88</v>
      </c>
      <c r="E179">
        <v>36.799999999999997</v>
      </c>
      <c r="F179">
        <f t="shared" si="48"/>
        <v>18.699999999999999</v>
      </c>
      <c r="G179">
        <f t="shared" si="49"/>
        <v>55.299999999999997</v>
      </c>
      <c r="H179">
        <v>37.5</v>
      </c>
      <c r="I179">
        <f t="shared" si="50"/>
        <v>24.399999999999999</v>
      </c>
      <c r="J179">
        <f t="shared" si="51"/>
        <v>0.70000000000000284</v>
      </c>
      <c r="K179">
        <f t="shared" si="52"/>
        <v>0.1260000000000005</v>
      </c>
      <c r="L179">
        <f t="shared" si="53"/>
        <v>0.11200000000000046</v>
      </c>
      <c r="M179">
        <f t="shared" si="54"/>
        <v>9.8000000000000406e-002</v>
      </c>
      <c r="N179">
        <f t="shared" si="55"/>
        <v>8.4000000000000338e-002</v>
      </c>
      <c r="O179" s="4">
        <f t="shared" si="56"/>
        <v>64.493999999999986</v>
      </c>
      <c r="P179">
        <f t="shared" si="57"/>
        <v>57.328000000000074</v>
      </c>
      <c r="Q179">
        <f t="shared" si="58"/>
        <v>50.162000000000027</v>
      </c>
      <c r="R179">
        <f t="shared" si="59"/>
        <v>42.996000000000038</v>
      </c>
    </row>
    <row r="180" ht="14.25">
      <c r="A180">
        <v>1128286</v>
      </c>
      <c r="B180">
        <v>12</v>
      </c>
      <c r="C180">
        <v>72.909999999999997</v>
      </c>
      <c r="D180">
        <v>84</v>
      </c>
      <c r="E180">
        <v>36.700000000000003</v>
      </c>
      <c r="F180">
        <f t="shared" si="48"/>
        <v>18.800000000000001</v>
      </c>
      <c r="G180">
        <f t="shared" si="49"/>
        <v>52.799999999999997</v>
      </c>
      <c r="H180">
        <v>37.5</v>
      </c>
      <c r="I180">
        <f t="shared" si="50"/>
        <v>23.199999999999999</v>
      </c>
      <c r="J180">
        <f t="shared" si="51"/>
        <v>0.79999999999999716</v>
      </c>
      <c r="K180">
        <f t="shared" si="52"/>
        <v>0.14399999999999949</v>
      </c>
      <c r="L180">
        <f t="shared" si="53"/>
        <v>0.12799999999999956</v>
      </c>
      <c r="M180">
        <f t="shared" si="54"/>
        <v>0.11199999999999961</v>
      </c>
      <c r="N180">
        <f t="shared" si="55"/>
        <v>9.5999999999999655e-002</v>
      </c>
      <c r="O180" s="4">
        <f t="shared" si="56"/>
        <v>64.61999999999999</v>
      </c>
      <c r="P180">
        <f t="shared" si="57"/>
        <v>57.440000000000076</v>
      </c>
      <c r="Q180">
        <f t="shared" si="58"/>
        <v>50.260000000000026</v>
      </c>
      <c r="R180">
        <f t="shared" si="59"/>
        <v>43.080000000000041</v>
      </c>
    </row>
    <row r="181" ht="14.25">
      <c r="A181">
        <v>1134588</v>
      </c>
      <c r="B181">
        <v>14</v>
      </c>
      <c r="C181">
        <v>73.049999999999997</v>
      </c>
      <c r="D181">
        <v>87</v>
      </c>
      <c r="E181">
        <v>36.600000000000001</v>
      </c>
      <c r="F181">
        <f t="shared" si="48"/>
        <v>18.899999999999999</v>
      </c>
      <c r="G181">
        <f t="shared" si="49"/>
        <v>54.700000000000003</v>
      </c>
      <c r="H181">
        <v>37.5</v>
      </c>
      <c r="I181">
        <f t="shared" si="50"/>
        <v>24.100000000000001</v>
      </c>
      <c r="J181">
        <f t="shared" si="51"/>
        <v>0.89999999999999858</v>
      </c>
      <c r="K181">
        <f t="shared" si="52"/>
        <v>0.16199999999999973</v>
      </c>
      <c r="L181">
        <f t="shared" si="53"/>
        <v>0.14399999999999977</v>
      </c>
      <c r="M181">
        <f t="shared" si="54"/>
        <v>0.12599999999999981</v>
      </c>
      <c r="N181">
        <f t="shared" si="55"/>
        <v>0.10799999999999983</v>
      </c>
      <c r="O181" s="4">
        <f t="shared" si="56"/>
        <v>64.763999999999996</v>
      </c>
      <c r="P181">
        <f t="shared" si="57"/>
        <v>57.568000000000076</v>
      </c>
      <c r="Q181">
        <f t="shared" si="58"/>
        <v>50.372000000000028</v>
      </c>
      <c r="R181">
        <f t="shared" si="59"/>
        <v>43.176000000000037</v>
      </c>
    </row>
    <row r="182" ht="14.25">
      <c r="A182">
        <v>1140891</v>
      </c>
      <c r="B182">
        <v>12.67</v>
      </c>
      <c r="C182">
        <v>73.180000000000007</v>
      </c>
      <c r="D182">
        <v>85</v>
      </c>
      <c r="E182">
        <v>36.899999999999999</v>
      </c>
      <c r="F182">
        <f t="shared" si="48"/>
        <v>19</v>
      </c>
      <c r="G182">
        <f t="shared" si="49"/>
        <v>53.5</v>
      </c>
      <c r="H182">
        <v>37.5</v>
      </c>
      <c r="I182">
        <f t="shared" si="50"/>
        <v>23.5</v>
      </c>
      <c r="J182">
        <f t="shared" si="51"/>
        <v>0.60000000000000142</v>
      </c>
      <c r="K182">
        <f t="shared" si="52"/>
        <v>0.10800000000000025</v>
      </c>
      <c r="L182">
        <f t="shared" si="53"/>
        <v>9.6000000000000224e-002</v>
      </c>
      <c r="M182">
        <f t="shared" si="54"/>
        <v>8.4000000000000213e-002</v>
      </c>
      <c r="N182">
        <f t="shared" si="55"/>
        <v>7.2000000000000161e-002</v>
      </c>
      <c r="O182" s="4">
        <f t="shared" si="56"/>
        <v>64.926000000000002</v>
      </c>
      <c r="P182">
        <f t="shared" si="57"/>
        <v>57.712000000000074</v>
      </c>
      <c r="Q182">
        <f t="shared" si="58"/>
        <v>50.498000000000026</v>
      </c>
      <c r="R182">
        <f t="shared" si="59"/>
        <v>43.284000000000034</v>
      </c>
    </row>
    <row r="183" ht="14.25">
      <c r="A183">
        <v>1147193</v>
      </c>
      <c r="B183">
        <v>14.67</v>
      </c>
      <c r="C183">
        <v>73.329999999999998</v>
      </c>
      <c r="D183">
        <v>87</v>
      </c>
      <c r="E183">
        <v>36.799999999999997</v>
      </c>
      <c r="F183">
        <f t="shared" si="48"/>
        <v>19.100000000000001</v>
      </c>
      <c r="G183">
        <f t="shared" si="49"/>
        <v>54.700000000000003</v>
      </c>
      <c r="H183">
        <v>37.5</v>
      </c>
      <c r="I183">
        <f t="shared" si="50"/>
        <v>24.100000000000001</v>
      </c>
      <c r="J183">
        <f t="shared" si="51"/>
        <v>0.70000000000000284</v>
      </c>
      <c r="K183">
        <f t="shared" si="52"/>
        <v>0.1260000000000005</v>
      </c>
      <c r="L183">
        <f t="shared" si="53"/>
        <v>0.11200000000000046</v>
      </c>
      <c r="M183">
        <f t="shared" si="54"/>
        <v>9.8000000000000406e-002</v>
      </c>
      <c r="N183">
        <f t="shared" si="55"/>
        <v>8.4000000000000338e-002</v>
      </c>
      <c r="O183" s="4">
        <f t="shared" si="56"/>
        <v>65.034000000000006</v>
      </c>
      <c r="P183">
        <f t="shared" si="57"/>
        <v>57.808000000000078</v>
      </c>
      <c r="Q183">
        <f t="shared" si="58"/>
        <v>50.582000000000029</v>
      </c>
      <c r="R183">
        <f t="shared" si="59"/>
        <v>43.356000000000037</v>
      </c>
    </row>
    <row r="184" ht="14.25">
      <c r="A184">
        <v>1153498</v>
      </c>
      <c r="B184">
        <v>14.67</v>
      </c>
      <c r="C184">
        <v>73.469999999999999</v>
      </c>
      <c r="D184">
        <v>88</v>
      </c>
      <c r="E184">
        <v>36.700000000000003</v>
      </c>
      <c r="F184">
        <f t="shared" si="48"/>
        <v>19.199999999999999</v>
      </c>
      <c r="G184">
        <f t="shared" si="49"/>
        <v>55.299999999999997</v>
      </c>
      <c r="H184">
        <v>37.5</v>
      </c>
      <c r="I184">
        <f t="shared" si="50"/>
        <v>24.399999999999999</v>
      </c>
      <c r="J184">
        <f t="shared" si="51"/>
        <v>0.79999999999999716</v>
      </c>
      <c r="K184">
        <f t="shared" si="52"/>
        <v>0.14399999999999949</v>
      </c>
      <c r="L184">
        <f t="shared" si="53"/>
        <v>0.12799999999999956</v>
      </c>
      <c r="M184">
        <f t="shared" si="54"/>
        <v>0.11199999999999961</v>
      </c>
      <c r="N184">
        <f t="shared" si="55"/>
        <v>9.5999999999999655e-002</v>
      </c>
      <c r="O184" s="4">
        <f t="shared" si="56"/>
        <v>65.160000000000011</v>
      </c>
      <c r="P184">
        <f t="shared" si="57"/>
        <v>57.92000000000008</v>
      </c>
      <c r="Q184">
        <f t="shared" si="58"/>
        <v>50.680000000000028</v>
      </c>
      <c r="R184">
        <f t="shared" si="59"/>
        <v>43.44000000000004</v>
      </c>
    </row>
    <row r="185" ht="14.25">
      <c r="A185">
        <v>1159800</v>
      </c>
      <c r="B185">
        <v>16.670000000000002</v>
      </c>
      <c r="C185">
        <v>73.640000000000001</v>
      </c>
      <c r="D185">
        <v>90</v>
      </c>
      <c r="E185">
        <v>36.5</v>
      </c>
      <c r="F185">
        <f t="shared" si="48"/>
        <v>19.300000000000001</v>
      </c>
      <c r="G185">
        <f t="shared" si="49"/>
        <v>56.600000000000001</v>
      </c>
      <c r="H185">
        <v>37.5</v>
      </c>
      <c r="I185">
        <f t="shared" si="50"/>
        <v>24.899999999999999</v>
      </c>
      <c r="J185">
        <f t="shared" si="51"/>
        <v>1</v>
      </c>
      <c r="K185">
        <f t="shared" si="52"/>
        <v>0.17999999999999999</v>
      </c>
      <c r="L185">
        <f t="shared" si="53"/>
        <v>0.16</v>
      </c>
      <c r="M185">
        <f t="shared" si="54"/>
        <v>0.14000000000000001</v>
      </c>
      <c r="N185">
        <f t="shared" si="55"/>
        <v>0.12</v>
      </c>
      <c r="O185" s="4">
        <f t="shared" si="56"/>
        <v>65.304000000000016</v>
      </c>
      <c r="P185">
        <f t="shared" si="57"/>
        <v>58.04800000000008</v>
      </c>
      <c r="Q185">
        <f t="shared" si="58"/>
        <v>50.79200000000003</v>
      </c>
      <c r="R185">
        <f t="shared" si="59"/>
        <v>43.536000000000037</v>
      </c>
    </row>
    <row r="186" ht="14.25">
      <c r="A186">
        <v>1166103</v>
      </c>
      <c r="B186">
        <v>16</v>
      </c>
      <c r="C186">
        <v>73.799999999999997</v>
      </c>
      <c r="D186">
        <v>89</v>
      </c>
      <c r="E186">
        <v>36.700000000000003</v>
      </c>
      <c r="F186">
        <f t="shared" si="48"/>
        <v>19.399999999999999</v>
      </c>
      <c r="G186">
        <f t="shared" si="49"/>
        <v>56</v>
      </c>
      <c r="H186">
        <v>37.5</v>
      </c>
      <c r="I186">
        <f t="shared" si="50"/>
        <v>24.600000000000001</v>
      </c>
      <c r="J186">
        <f t="shared" si="51"/>
        <v>0.79999999999999716</v>
      </c>
      <c r="K186">
        <f t="shared" si="52"/>
        <v>0.14399999999999949</v>
      </c>
      <c r="L186">
        <f t="shared" si="53"/>
        <v>0.12799999999999956</v>
      </c>
      <c r="M186">
        <f t="shared" si="54"/>
        <v>0.11199999999999961</v>
      </c>
      <c r="N186">
        <f t="shared" si="55"/>
        <v>9.5999999999999655e-002</v>
      </c>
      <c r="O186" s="4">
        <f t="shared" si="56"/>
        <v>65.484000000000023</v>
      </c>
      <c r="P186">
        <f t="shared" si="57"/>
        <v>58.208000000000077</v>
      </c>
      <c r="Q186">
        <f t="shared" si="58"/>
        <v>50.932000000000031</v>
      </c>
      <c r="R186">
        <f t="shared" si="59"/>
        <v>43.656000000000034</v>
      </c>
    </row>
    <row r="187" ht="14.25">
      <c r="A187">
        <v>1172405</v>
      </c>
      <c r="B187">
        <v>14</v>
      </c>
      <c r="C187">
        <v>73.939999999999998</v>
      </c>
      <c r="D187">
        <v>87</v>
      </c>
      <c r="E187">
        <v>36.799999999999997</v>
      </c>
      <c r="F187">
        <f t="shared" si="48"/>
        <v>19.5</v>
      </c>
      <c r="G187">
        <f t="shared" si="49"/>
        <v>54.700000000000003</v>
      </c>
      <c r="H187">
        <v>37.5</v>
      </c>
      <c r="I187">
        <f t="shared" si="50"/>
        <v>24.100000000000001</v>
      </c>
      <c r="J187">
        <f t="shared" si="51"/>
        <v>0.70000000000000284</v>
      </c>
      <c r="K187">
        <f t="shared" si="52"/>
        <v>0.1260000000000005</v>
      </c>
      <c r="L187">
        <f t="shared" si="53"/>
        <v>0.11200000000000046</v>
      </c>
      <c r="M187">
        <f t="shared" si="54"/>
        <v>9.8000000000000406e-002</v>
      </c>
      <c r="N187">
        <f t="shared" si="55"/>
        <v>8.4000000000000338e-002</v>
      </c>
      <c r="O187" s="4">
        <f t="shared" si="56"/>
        <v>65.628000000000029</v>
      </c>
      <c r="P187">
        <f t="shared" si="57"/>
        <v>58.336000000000077</v>
      </c>
      <c r="Q187">
        <f t="shared" si="58"/>
        <v>51.044000000000032</v>
      </c>
      <c r="R187">
        <f t="shared" si="59"/>
        <v>43.752000000000031</v>
      </c>
    </row>
    <row r="188" ht="14.25">
      <c r="A188">
        <v>1178710</v>
      </c>
      <c r="B188">
        <v>17.329999999999998</v>
      </c>
      <c r="C188">
        <v>74.109999999999999</v>
      </c>
      <c r="D188">
        <v>91</v>
      </c>
      <c r="E188">
        <v>36.5</v>
      </c>
      <c r="F188">
        <f t="shared" si="48"/>
        <v>19.600000000000001</v>
      </c>
      <c r="G188">
        <f t="shared" si="49"/>
        <v>57.200000000000003</v>
      </c>
      <c r="H188">
        <v>37.5</v>
      </c>
      <c r="I188">
        <f t="shared" si="50"/>
        <v>25.199999999999999</v>
      </c>
      <c r="J188">
        <f t="shared" si="51"/>
        <v>1</v>
      </c>
      <c r="K188">
        <f t="shared" si="52"/>
        <v>0.17999999999999999</v>
      </c>
      <c r="L188">
        <f t="shared" si="53"/>
        <v>0.16</v>
      </c>
      <c r="M188">
        <f t="shared" si="54"/>
        <v>0.14000000000000001</v>
      </c>
      <c r="N188">
        <f t="shared" si="55"/>
        <v>0.12</v>
      </c>
      <c r="O188" s="4">
        <f t="shared" si="56"/>
        <v>65.754000000000033</v>
      </c>
      <c r="P188">
        <f t="shared" si="57"/>
        <v>58.448000000000079</v>
      </c>
      <c r="Q188">
        <f t="shared" si="58"/>
        <v>51.142000000000031</v>
      </c>
      <c r="R188">
        <f t="shared" si="59"/>
        <v>43.836000000000034</v>
      </c>
    </row>
    <row r="189" ht="14.25">
      <c r="A189">
        <v>1185012</v>
      </c>
      <c r="B189">
        <v>14.67</v>
      </c>
      <c r="C189">
        <v>74.260000000000005</v>
      </c>
      <c r="D189">
        <v>88</v>
      </c>
      <c r="E189">
        <v>36.700000000000003</v>
      </c>
      <c r="F189">
        <f t="shared" si="48"/>
        <v>19.800000000000001</v>
      </c>
      <c r="G189">
        <f t="shared" si="49"/>
        <v>55.299999999999997</v>
      </c>
      <c r="H189">
        <v>37.5</v>
      </c>
      <c r="I189">
        <f t="shared" si="50"/>
        <v>24.399999999999999</v>
      </c>
      <c r="J189">
        <f t="shared" si="51"/>
        <v>0.79999999999999716</v>
      </c>
      <c r="K189">
        <f t="shared" si="52"/>
        <v>0.14399999999999949</v>
      </c>
      <c r="L189">
        <f t="shared" si="53"/>
        <v>0.12799999999999956</v>
      </c>
      <c r="M189">
        <f t="shared" si="54"/>
        <v>0.11199999999999961</v>
      </c>
      <c r="N189">
        <f t="shared" si="55"/>
        <v>9.5999999999999655e-002</v>
      </c>
      <c r="O189" s="4">
        <f t="shared" si="56"/>
        <v>65.93400000000004</v>
      </c>
      <c r="P189">
        <f t="shared" si="57"/>
        <v>58.608000000000075</v>
      </c>
      <c r="Q189">
        <f t="shared" si="58"/>
        <v>51.282000000000032</v>
      </c>
      <c r="R189">
        <f t="shared" si="59"/>
        <v>43.956000000000031</v>
      </c>
    </row>
    <row r="190" ht="14.25">
      <c r="A190">
        <v>1191316</v>
      </c>
      <c r="B190">
        <v>14</v>
      </c>
      <c r="C190">
        <v>74.400000000000006</v>
      </c>
      <c r="D190">
        <v>88</v>
      </c>
      <c r="E190">
        <v>36.899999999999999</v>
      </c>
      <c r="F190">
        <f t="shared" si="48"/>
        <v>19.899999999999999</v>
      </c>
      <c r="G190">
        <f t="shared" si="49"/>
        <v>55.299999999999997</v>
      </c>
      <c r="H190">
        <v>37.5</v>
      </c>
      <c r="I190">
        <f t="shared" si="50"/>
        <v>24.399999999999999</v>
      </c>
      <c r="J190">
        <f t="shared" si="51"/>
        <v>0.60000000000000142</v>
      </c>
      <c r="K190">
        <f t="shared" si="52"/>
        <v>0.10800000000000025</v>
      </c>
      <c r="L190">
        <f t="shared" si="53"/>
        <v>9.6000000000000224e-002</v>
      </c>
      <c r="M190">
        <f t="shared" si="54"/>
        <v>8.4000000000000213e-002</v>
      </c>
      <c r="N190">
        <f t="shared" si="55"/>
        <v>7.2000000000000161e-002</v>
      </c>
      <c r="O190" s="4">
        <f t="shared" si="56"/>
        <v>66.078000000000046</v>
      </c>
      <c r="P190">
        <f t="shared" si="57"/>
        <v>58.736000000000075</v>
      </c>
      <c r="Q190">
        <f t="shared" si="58"/>
        <v>51.394000000000034</v>
      </c>
      <c r="R190">
        <f t="shared" si="59"/>
        <v>44.052000000000028</v>
      </c>
    </row>
    <row r="191" ht="14.25">
      <c r="A191">
        <v>1197620</v>
      </c>
      <c r="B191">
        <v>15.33</v>
      </c>
      <c r="C191">
        <v>74.549999999999997</v>
      </c>
      <c r="D191">
        <v>89</v>
      </c>
      <c r="E191">
        <v>36.700000000000003</v>
      </c>
      <c r="F191">
        <f t="shared" si="48"/>
        <v>20</v>
      </c>
      <c r="G191">
        <f t="shared" si="49"/>
        <v>56</v>
      </c>
      <c r="H191">
        <v>37.5</v>
      </c>
      <c r="I191">
        <f t="shared" si="50"/>
        <v>24.600000000000001</v>
      </c>
      <c r="J191">
        <f t="shared" si="51"/>
        <v>0.79999999999999716</v>
      </c>
      <c r="K191">
        <f t="shared" si="52"/>
        <v>0.14399999999999949</v>
      </c>
      <c r="L191">
        <f t="shared" si="53"/>
        <v>0.12799999999999956</v>
      </c>
      <c r="M191">
        <f t="shared" si="54"/>
        <v>0.11199999999999961</v>
      </c>
      <c r="N191">
        <f t="shared" si="55"/>
        <v>9.5999999999999655e-002</v>
      </c>
      <c r="O191" s="4">
        <f t="shared" si="56"/>
        <v>66.18600000000005</v>
      </c>
      <c r="P191">
        <f t="shared" si="57"/>
        <v>58.832000000000079</v>
      </c>
      <c r="Q191">
        <f t="shared" si="58"/>
        <v>51.478000000000037</v>
      </c>
      <c r="R191">
        <f t="shared" si="59"/>
        <v>44.124000000000031</v>
      </c>
    </row>
    <row r="192" ht="14.25">
      <c r="A192">
        <v>1203922</v>
      </c>
      <c r="B192">
        <v>16.670000000000002</v>
      </c>
      <c r="C192">
        <v>74.719999999999999</v>
      </c>
      <c r="D192">
        <v>91</v>
      </c>
      <c r="E192">
        <v>36.799999999999997</v>
      </c>
      <c r="F192">
        <f t="shared" si="48"/>
        <v>20.100000000000001</v>
      </c>
      <c r="G192">
        <f t="shared" si="49"/>
        <v>57.200000000000003</v>
      </c>
      <c r="H192">
        <v>37.5</v>
      </c>
      <c r="I192">
        <f t="shared" si="50"/>
        <v>25.199999999999999</v>
      </c>
      <c r="J192">
        <f t="shared" si="51"/>
        <v>0.70000000000000284</v>
      </c>
      <c r="K192">
        <f t="shared" si="52"/>
        <v>0.1260000000000005</v>
      </c>
      <c r="L192">
        <f t="shared" si="53"/>
        <v>0.11200000000000046</v>
      </c>
      <c r="M192">
        <f t="shared" si="54"/>
        <v>9.8000000000000406e-002</v>
      </c>
      <c r="N192">
        <f t="shared" si="55"/>
        <v>8.4000000000000338e-002</v>
      </c>
      <c r="O192" s="4">
        <f t="shared" si="56"/>
        <v>66.330000000000055</v>
      </c>
      <c r="P192">
        <f t="shared" si="57"/>
        <v>58.960000000000079</v>
      </c>
      <c r="Q192">
        <f t="shared" si="58"/>
        <v>51.590000000000039</v>
      </c>
      <c r="R192">
        <f t="shared" si="59"/>
        <v>44.220000000000027</v>
      </c>
    </row>
    <row r="193" ht="14.25">
      <c r="A193">
        <v>1210226</v>
      </c>
      <c r="B193">
        <v>19.329999999999998</v>
      </c>
      <c r="C193">
        <v>74.909999999999997</v>
      </c>
      <c r="D193">
        <v>94</v>
      </c>
      <c r="E193">
        <v>36.600000000000001</v>
      </c>
      <c r="F193">
        <f t="shared" si="48"/>
        <v>20.199999999999999</v>
      </c>
      <c r="G193">
        <f t="shared" si="49"/>
        <v>59.100000000000001</v>
      </c>
      <c r="H193">
        <v>37.5</v>
      </c>
      <c r="I193">
        <f t="shared" si="50"/>
        <v>26</v>
      </c>
      <c r="J193">
        <f t="shared" si="51"/>
        <v>0.89999999999999858</v>
      </c>
      <c r="K193">
        <f t="shared" si="52"/>
        <v>0.16199999999999973</v>
      </c>
      <c r="L193">
        <f t="shared" si="53"/>
        <v>0.14399999999999977</v>
      </c>
      <c r="M193">
        <f t="shared" si="54"/>
        <v>0.12599999999999981</v>
      </c>
      <c r="N193">
        <f t="shared" si="55"/>
        <v>0.10799999999999983</v>
      </c>
      <c r="O193" s="4">
        <f t="shared" si="56"/>
        <v>66.45600000000006</v>
      </c>
      <c r="P193">
        <f t="shared" si="57"/>
        <v>59.072000000000081</v>
      </c>
      <c r="Q193">
        <f t="shared" si="58"/>
        <v>51.688000000000038</v>
      </c>
      <c r="R193">
        <f t="shared" si="59"/>
        <v>44.30400000000003</v>
      </c>
    </row>
    <row r="194" ht="14.25">
      <c r="A194">
        <v>1216530</v>
      </c>
      <c r="B194">
        <v>13.33</v>
      </c>
      <c r="C194">
        <v>75.049999999999997</v>
      </c>
      <c r="D194">
        <v>88</v>
      </c>
      <c r="E194">
        <v>36.899999999999999</v>
      </c>
      <c r="F194">
        <f t="shared" si="48"/>
        <v>20.300000000000001</v>
      </c>
      <c r="G194">
        <f t="shared" si="49"/>
        <v>55.299999999999997</v>
      </c>
      <c r="H194">
        <v>37.5</v>
      </c>
      <c r="I194">
        <f t="shared" si="50"/>
        <v>24.399999999999999</v>
      </c>
      <c r="J194">
        <f t="shared" si="51"/>
        <v>0.60000000000000142</v>
      </c>
      <c r="K194">
        <f t="shared" si="52"/>
        <v>0.10800000000000025</v>
      </c>
      <c r="L194">
        <f t="shared" si="53"/>
        <v>9.6000000000000224e-002</v>
      </c>
      <c r="M194">
        <f t="shared" si="54"/>
        <v>8.4000000000000213e-002</v>
      </c>
      <c r="N194">
        <f t="shared" si="55"/>
        <v>7.2000000000000161e-002</v>
      </c>
      <c r="O194" s="4">
        <f t="shared" si="56"/>
        <v>66.618000000000066</v>
      </c>
      <c r="P194">
        <f t="shared" si="57"/>
        <v>59.216000000000079</v>
      </c>
      <c r="Q194">
        <f t="shared" si="58"/>
        <v>51.814000000000036</v>
      </c>
      <c r="R194">
        <f t="shared" si="59"/>
        <v>44.412000000000027</v>
      </c>
    </row>
    <row r="195" ht="14.25">
      <c r="A195">
        <v>1222834</v>
      </c>
      <c r="B195">
        <v>13.33</v>
      </c>
      <c r="C195">
        <v>75.180000000000007</v>
      </c>
      <c r="D195">
        <v>88</v>
      </c>
      <c r="E195">
        <v>36.899999999999999</v>
      </c>
      <c r="F195">
        <f t="shared" si="48"/>
        <v>20.399999999999999</v>
      </c>
      <c r="G195">
        <f t="shared" si="49"/>
        <v>55.299999999999997</v>
      </c>
      <c r="H195">
        <v>37.5</v>
      </c>
      <c r="I195">
        <f t="shared" si="50"/>
        <v>24.399999999999999</v>
      </c>
      <c r="J195">
        <f t="shared" si="51"/>
        <v>0.60000000000000142</v>
      </c>
      <c r="K195">
        <f t="shared" si="52"/>
        <v>0.10800000000000025</v>
      </c>
      <c r="L195">
        <f t="shared" si="53"/>
        <v>9.6000000000000224e-002</v>
      </c>
      <c r="M195">
        <f t="shared" si="54"/>
        <v>8.4000000000000213e-002</v>
      </c>
      <c r="N195">
        <f t="shared" si="55"/>
        <v>7.2000000000000161e-002</v>
      </c>
      <c r="O195" s="4">
        <f t="shared" si="56"/>
        <v>66.72600000000007</v>
      </c>
      <c r="P195">
        <f t="shared" si="57"/>
        <v>59.312000000000083</v>
      </c>
      <c r="Q195">
        <f t="shared" si="58"/>
        <v>51.898000000000039</v>
      </c>
      <c r="R195">
        <f t="shared" si="59"/>
        <v>44.48400000000003</v>
      </c>
    </row>
    <row r="196" ht="14.25">
      <c r="A196">
        <v>1229135</v>
      </c>
      <c r="B196">
        <v>13.33</v>
      </c>
      <c r="C196">
        <v>75.310000000000002</v>
      </c>
      <c r="D196">
        <v>88</v>
      </c>
      <c r="E196">
        <v>36.799999999999997</v>
      </c>
      <c r="F196">
        <f t="shared" si="48"/>
        <v>20.5</v>
      </c>
      <c r="G196">
        <f t="shared" si="49"/>
        <v>55.299999999999997</v>
      </c>
      <c r="H196">
        <v>37.5</v>
      </c>
      <c r="I196">
        <f t="shared" si="50"/>
        <v>24.399999999999999</v>
      </c>
      <c r="J196">
        <f t="shared" si="51"/>
        <v>0.70000000000000284</v>
      </c>
      <c r="K196">
        <f t="shared" si="52"/>
        <v>0.1260000000000005</v>
      </c>
      <c r="L196">
        <f t="shared" si="53"/>
        <v>0.11200000000000046</v>
      </c>
      <c r="M196">
        <f t="shared" si="54"/>
        <v>9.8000000000000406e-002</v>
      </c>
      <c r="N196">
        <f t="shared" si="55"/>
        <v>8.4000000000000338e-002</v>
      </c>
      <c r="O196" s="4">
        <f t="shared" si="56"/>
        <v>66.834000000000074</v>
      </c>
      <c r="P196">
        <f t="shared" si="57"/>
        <v>59.408000000000087</v>
      </c>
      <c r="Q196">
        <f t="shared" si="58"/>
        <v>51.982000000000042</v>
      </c>
      <c r="R196">
        <f t="shared" si="59"/>
        <v>44.556000000000033</v>
      </c>
    </row>
    <row r="197" ht="14.25">
      <c r="A197">
        <v>1235439</v>
      </c>
      <c r="B197">
        <v>14.67</v>
      </c>
      <c r="C197">
        <v>75.459999999999994</v>
      </c>
      <c r="D197">
        <v>90</v>
      </c>
      <c r="E197">
        <v>36.5</v>
      </c>
      <c r="F197">
        <f t="shared" si="48"/>
        <v>20.600000000000001</v>
      </c>
      <c r="G197">
        <f t="shared" si="49"/>
        <v>56.600000000000001</v>
      </c>
      <c r="H197">
        <v>37.5</v>
      </c>
      <c r="I197">
        <f t="shared" si="50"/>
        <v>24.899999999999999</v>
      </c>
      <c r="J197">
        <f t="shared" si="51"/>
        <v>1</v>
      </c>
      <c r="K197">
        <f t="shared" si="52"/>
        <v>0.17999999999999999</v>
      </c>
      <c r="L197">
        <f t="shared" si="53"/>
        <v>0.16</v>
      </c>
      <c r="M197">
        <f t="shared" si="54"/>
        <v>0.14000000000000001</v>
      </c>
      <c r="N197">
        <f t="shared" si="55"/>
        <v>0.12</v>
      </c>
      <c r="O197" s="4">
        <f t="shared" si="56"/>
        <v>66.960000000000079</v>
      </c>
      <c r="P197">
        <f t="shared" si="57"/>
        <v>59.520000000000088</v>
      </c>
      <c r="Q197">
        <f t="shared" si="58"/>
        <v>52.080000000000041</v>
      </c>
      <c r="R197">
        <f t="shared" si="59"/>
        <v>44.640000000000036</v>
      </c>
    </row>
    <row r="198" ht="14.25">
      <c r="A198">
        <v>1241742</v>
      </c>
      <c r="B198">
        <v>16</v>
      </c>
      <c r="C198">
        <v>75.620000000000005</v>
      </c>
      <c r="D198">
        <v>91</v>
      </c>
      <c r="E198">
        <v>36.399999999999999</v>
      </c>
      <c r="F198">
        <f t="shared" si="48"/>
        <v>20.699999999999999</v>
      </c>
      <c r="G198">
        <f t="shared" si="49"/>
        <v>57.200000000000003</v>
      </c>
      <c r="H198">
        <v>37.5</v>
      </c>
      <c r="I198">
        <f t="shared" si="50"/>
        <v>25.199999999999999</v>
      </c>
      <c r="J198">
        <f t="shared" si="51"/>
        <v>1.1000000000000014</v>
      </c>
      <c r="K198">
        <f t="shared" si="52"/>
        <v>0.19800000000000026</v>
      </c>
      <c r="L198">
        <f t="shared" si="53"/>
        <v>0.17600000000000024</v>
      </c>
      <c r="M198">
        <f t="shared" si="54"/>
        <v>0.15400000000000022</v>
      </c>
      <c r="N198">
        <f t="shared" si="55"/>
        <v>0.13200000000000017</v>
      </c>
      <c r="O198" s="4">
        <f t="shared" si="56"/>
        <v>67.140000000000086</v>
      </c>
      <c r="P198">
        <f t="shared" si="57"/>
        <v>59.680000000000085</v>
      </c>
      <c r="Q198">
        <f t="shared" si="58"/>
        <v>52.220000000000041</v>
      </c>
      <c r="R198">
        <f t="shared" si="59"/>
        <v>44.760000000000034</v>
      </c>
    </row>
    <row r="199" ht="14.25">
      <c r="A199">
        <v>1248045</v>
      </c>
      <c r="B199">
        <v>12</v>
      </c>
      <c r="C199">
        <v>75.739999999999995</v>
      </c>
      <c r="D199">
        <v>87</v>
      </c>
      <c r="E199">
        <v>36.799999999999997</v>
      </c>
      <c r="F199">
        <f t="shared" si="48"/>
        <v>20.800000000000001</v>
      </c>
      <c r="G199">
        <f t="shared" si="49"/>
        <v>54.700000000000003</v>
      </c>
      <c r="H199">
        <v>37.5</v>
      </c>
      <c r="I199">
        <f t="shared" si="50"/>
        <v>24.100000000000001</v>
      </c>
      <c r="J199">
        <f t="shared" si="51"/>
        <v>0.70000000000000284</v>
      </c>
      <c r="K199">
        <f t="shared" si="52"/>
        <v>0.1260000000000005</v>
      </c>
      <c r="L199">
        <f t="shared" si="53"/>
        <v>0.11200000000000046</v>
      </c>
      <c r="M199">
        <f t="shared" si="54"/>
        <v>9.8000000000000406e-002</v>
      </c>
      <c r="N199">
        <f t="shared" si="55"/>
        <v>8.4000000000000338e-002</v>
      </c>
      <c r="O199" s="4">
        <f t="shared" si="56"/>
        <v>67.338000000000079</v>
      </c>
      <c r="P199">
        <f t="shared" si="57"/>
        <v>59.856000000000087</v>
      </c>
      <c r="Q199">
        <f t="shared" si="58"/>
        <v>52.374000000000045</v>
      </c>
      <c r="R199">
        <f t="shared" si="59"/>
        <v>44.892000000000031</v>
      </c>
    </row>
    <row r="200" ht="14.25">
      <c r="A200">
        <v>1254348</v>
      </c>
      <c r="B200">
        <v>18.670000000000002</v>
      </c>
      <c r="C200">
        <v>75.930000000000007</v>
      </c>
      <c r="D200">
        <v>94</v>
      </c>
      <c r="E200">
        <v>36.299999999999997</v>
      </c>
      <c r="F200">
        <f t="shared" si="48"/>
        <v>20.899999999999999</v>
      </c>
      <c r="G200">
        <f t="shared" si="49"/>
        <v>59.100000000000001</v>
      </c>
      <c r="H200">
        <v>37.5</v>
      </c>
      <c r="I200">
        <f t="shared" si="50"/>
        <v>26</v>
      </c>
      <c r="J200">
        <f t="shared" si="51"/>
        <v>1.2000000000000028</v>
      </c>
      <c r="K200">
        <f t="shared" si="52"/>
        <v>0.2160000000000005</v>
      </c>
      <c r="L200">
        <f t="shared" si="53"/>
        <v>0.19200000000000045</v>
      </c>
      <c r="M200">
        <f t="shared" si="54"/>
        <v>0.16800000000000043</v>
      </c>
      <c r="N200">
        <f t="shared" si="55"/>
        <v>0.14400000000000032</v>
      </c>
      <c r="O200" s="4">
        <f t="shared" si="56"/>
        <v>67.464000000000084</v>
      </c>
      <c r="P200">
        <f t="shared" si="57"/>
        <v>59.968000000000089</v>
      </c>
      <c r="Q200">
        <f t="shared" si="58"/>
        <v>52.472000000000044</v>
      </c>
      <c r="R200">
        <f t="shared" si="59"/>
        <v>44.976000000000035</v>
      </c>
    </row>
    <row r="201" ht="14.25">
      <c r="A201">
        <v>1260650</v>
      </c>
      <c r="B201">
        <v>14</v>
      </c>
      <c r="C201">
        <v>76.069999999999993</v>
      </c>
      <c r="D201">
        <v>90</v>
      </c>
      <c r="E201">
        <v>37</v>
      </c>
      <c r="F201">
        <f t="shared" si="48"/>
        <v>21</v>
      </c>
      <c r="G201">
        <f t="shared" si="49"/>
        <v>56.600000000000001</v>
      </c>
      <c r="H201">
        <v>37.5</v>
      </c>
      <c r="I201">
        <f t="shared" si="50"/>
        <v>24.899999999999999</v>
      </c>
      <c r="J201">
        <f t="shared" si="51"/>
        <v>0.5</v>
      </c>
      <c r="K201">
        <f t="shared" si="52"/>
        <v>8.9999999999999997e-002</v>
      </c>
      <c r="L201">
        <f t="shared" si="53"/>
        <v>8.0000000000000002e-002</v>
      </c>
      <c r="M201">
        <f t="shared" si="54"/>
        <v>7.0000000000000007e-002</v>
      </c>
      <c r="N201">
        <f t="shared" si="55"/>
        <v>5.9999999999999998e-002</v>
      </c>
      <c r="O201" s="4">
        <f t="shared" si="56"/>
        <v>67.680000000000078</v>
      </c>
      <c r="P201">
        <f t="shared" si="57"/>
        <v>60.160000000000089</v>
      </c>
      <c r="Q201">
        <f t="shared" si="58"/>
        <v>52.640000000000043</v>
      </c>
      <c r="R201">
        <f t="shared" si="59"/>
        <v>45.120000000000033</v>
      </c>
    </row>
    <row r="202" ht="14.25">
      <c r="A202">
        <v>1266954</v>
      </c>
      <c r="B202">
        <v>14.67</v>
      </c>
      <c r="C202">
        <v>76.209999999999994</v>
      </c>
      <c r="D202">
        <v>90</v>
      </c>
      <c r="E202">
        <v>36.899999999999999</v>
      </c>
      <c r="F202">
        <f t="shared" si="48"/>
        <v>21.100000000000001</v>
      </c>
      <c r="G202">
        <f t="shared" si="49"/>
        <v>56.600000000000001</v>
      </c>
      <c r="H202">
        <v>37.5</v>
      </c>
      <c r="I202">
        <f t="shared" si="50"/>
        <v>24.899999999999999</v>
      </c>
      <c r="J202">
        <f t="shared" si="51"/>
        <v>0.60000000000000142</v>
      </c>
      <c r="K202">
        <f t="shared" si="52"/>
        <v>0.10800000000000025</v>
      </c>
      <c r="L202">
        <f t="shared" si="53"/>
        <v>9.6000000000000224e-002</v>
      </c>
      <c r="M202">
        <f t="shared" si="54"/>
        <v>8.4000000000000213e-002</v>
      </c>
      <c r="N202">
        <f t="shared" si="55"/>
        <v>7.2000000000000161e-002</v>
      </c>
      <c r="O202" s="4">
        <f t="shared" si="56"/>
        <v>67.770000000000081</v>
      </c>
      <c r="P202">
        <f t="shared" si="57"/>
        <v>60.240000000000087</v>
      </c>
      <c r="Q202">
        <f t="shared" si="58"/>
        <v>52.710000000000043</v>
      </c>
      <c r="R202">
        <f t="shared" si="59"/>
        <v>45.180000000000035</v>
      </c>
    </row>
    <row r="203" ht="14.25">
      <c r="A203">
        <v>1273257</v>
      </c>
      <c r="B203">
        <v>12.67</v>
      </c>
      <c r="C203">
        <v>76.340000000000003</v>
      </c>
      <c r="D203">
        <v>89</v>
      </c>
      <c r="E203">
        <v>36.700000000000003</v>
      </c>
      <c r="F203">
        <f t="shared" si="48"/>
        <v>21.199999999999999</v>
      </c>
      <c r="G203">
        <f t="shared" si="49"/>
        <v>56</v>
      </c>
      <c r="H203">
        <v>37.5</v>
      </c>
      <c r="I203">
        <f t="shared" si="50"/>
        <v>24.600000000000001</v>
      </c>
      <c r="J203">
        <f t="shared" si="51"/>
        <v>0.79999999999999716</v>
      </c>
      <c r="K203">
        <f t="shared" si="52"/>
        <v>0.14399999999999949</v>
      </c>
      <c r="L203">
        <f t="shared" si="53"/>
        <v>0.12799999999999956</v>
      </c>
      <c r="M203">
        <f t="shared" si="54"/>
        <v>0.11199999999999961</v>
      </c>
      <c r="N203">
        <f t="shared" si="55"/>
        <v>9.5999999999999655e-002</v>
      </c>
      <c r="O203" s="4">
        <f t="shared" si="56"/>
        <v>67.878000000000085</v>
      </c>
      <c r="P203">
        <f t="shared" si="57"/>
        <v>60.336000000000091</v>
      </c>
      <c r="Q203">
        <f t="shared" si="58"/>
        <v>52.794000000000047</v>
      </c>
      <c r="R203">
        <f t="shared" si="59"/>
        <v>45.252000000000038</v>
      </c>
    </row>
    <row r="204" ht="14.25">
      <c r="A204">
        <v>1279561</v>
      </c>
      <c r="B204">
        <v>11.33</v>
      </c>
      <c r="C204">
        <v>76.450000000000003</v>
      </c>
      <c r="D204">
        <v>87</v>
      </c>
      <c r="E204">
        <v>37</v>
      </c>
      <c r="F204">
        <f t="shared" si="48"/>
        <v>21.300000000000001</v>
      </c>
      <c r="G204">
        <f t="shared" si="49"/>
        <v>54.700000000000003</v>
      </c>
      <c r="H204">
        <v>37.5</v>
      </c>
      <c r="I204">
        <f t="shared" si="50"/>
        <v>24.100000000000001</v>
      </c>
      <c r="J204">
        <f t="shared" si="51"/>
        <v>0.5</v>
      </c>
      <c r="K204">
        <f t="shared" si="52"/>
        <v>8.9999999999999997e-002</v>
      </c>
      <c r="L204">
        <f t="shared" si="53"/>
        <v>8.0000000000000002e-002</v>
      </c>
      <c r="M204">
        <f t="shared" si="54"/>
        <v>7.0000000000000007e-002</v>
      </c>
      <c r="N204">
        <f t="shared" si="55"/>
        <v>5.9999999999999998e-002</v>
      </c>
      <c r="O204" s="4">
        <f t="shared" si="56"/>
        <v>68.022000000000091</v>
      </c>
      <c r="P204">
        <f t="shared" si="57"/>
        <v>60.464000000000091</v>
      </c>
      <c r="Q204">
        <f t="shared" si="58"/>
        <v>52.906000000000049</v>
      </c>
      <c r="R204">
        <f t="shared" si="59"/>
        <v>45.348000000000035</v>
      </c>
    </row>
    <row r="205" ht="14.25">
      <c r="A205">
        <v>1285865</v>
      </c>
      <c r="B205">
        <v>12.67</v>
      </c>
      <c r="C205">
        <v>76.579999999999998</v>
      </c>
      <c r="D205">
        <v>89</v>
      </c>
      <c r="E205">
        <v>36.899999999999999</v>
      </c>
      <c r="F205">
        <f t="shared" si="48"/>
        <v>21.399999999999999</v>
      </c>
      <c r="G205">
        <f t="shared" si="49"/>
        <v>56</v>
      </c>
      <c r="H205">
        <v>37.5</v>
      </c>
      <c r="I205">
        <f t="shared" si="50"/>
        <v>24.600000000000001</v>
      </c>
      <c r="J205">
        <f t="shared" si="51"/>
        <v>0.60000000000000142</v>
      </c>
      <c r="K205">
        <f t="shared" si="52"/>
        <v>0.10800000000000025</v>
      </c>
      <c r="L205">
        <f t="shared" si="53"/>
        <v>9.6000000000000224e-002</v>
      </c>
      <c r="M205">
        <f t="shared" si="54"/>
        <v>8.4000000000000213e-002</v>
      </c>
      <c r="N205">
        <f t="shared" si="55"/>
        <v>7.2000000000000161e-002</v>
      </c>
      <c r="O205" s="4">
        <f t="shared" si="56"/>
        <v>68.112000000000094</v>
      </c>
      <c r="P205">
        <f t="shared" si="57"/>
        <v>60.544000000000089</v>
      </c>
      <c r="Q205">
        <f t="shared" si="58"/>
        <v>52.976000000000049</v>
      </c>
      <c r="R205">
        <f t="shared" si="59"/>
        <v>45.408000000000037</v>
      </c>
    </row>
    <row r="206" ht="14.25">
      <c r="A206">
        <v>1292169</v>
      </c>
      <c r="B206">
        <v>12</v>
      </c>
      <c r="C206">
        <v>76.700000000000003</v>
      </c>
      <c r="D206">
        <v>88</v>
      </c>
      <c r="E206">
        <v>36.899999999999999</v>
      </c>
      <c r="F206">
        <f t="shared" si="48"/>
        <v>21.5</v>
      </c>
      <c r="G206">
        <f t="shared" si="49"/>
        <v>55.299999999999997</v>
      </c>
      <c r="H206">
        <v>37.5</v>
      </c>
      <c r="I206">
        <f t="shared" si="50"/>
        <v>24.399999999999999</v>
      </c>
      <c r="J206">
        <f t="shared" si="51"/>
        <v>0.60000000000000142</v>
      </c>
      <c r="K206">
        <f t="shared" si="52"/>
        <v>0.10800000000000025</v>
      </c>
      <c r="L206">
        <f t="shared" si="53"/>
        <v>9.6000000000000224e-002</v>
      </c>
      <c r="M206">
        <f t="shared" si="54"/>
        <v>8.4000000000000213e-002</v>
      </c>
      <c r="N206">
        <f t="shared" si="55"/>
        <v>7.2000000000000161e-002</v>
      </c>
      <c r="O206" s="4">
        <f t="shared" si="56"/>
        <v>68.220000000000098</v>
      </c>
      <c r="P206">
        <f t="shared" si="57"/>
        <v>60.640000000000093</v>
      </c>
      <c r="Q206">
        <f t="shared" si="58"/>
        <v>53.060000000000052</v>
      </c>
      <c r="R206">
        <f t="shared" si="59"/>
        <v>45.48000000000004</v>
      </c>
    </row>
    <row r="207" ht="14.25">
      <c r="A207">
        <v>1298472</v>
      </c>
      <c r="B207">
        <v>12</v>
      </c>
      <c r="C207">
        <v>76.819999999999993</v>
      </c>
      <c r="D207">
        <v>88</v>
      </c>
      <c r="E207">
        <v>36.899999999999999</v>
      </c>
      <c r="F207">
        <f t="shared" si="48"/>
        <v>21.600000000000001</v>
      </c>
      <c r="G207">
        <f t="shared" si="49"/>
        <v>55.299999999999997</v>
      </c>
      <c r="H207">
        <v>37.5</v>
      </c>
      <c r="I207">
        <f t="shared" si="50"/>
        <v>24.399999999999999</v>
      </c>
      <c r="J207">
        <f t="shared" si="51"/>
        <v>0.60000000000000142</v>
      </c>
      <c r="K207">
        <f t="shared" si="52"/>
        <v>0.10800000000000025</v>
      </c>
      <c r="L207">
        <f t="shared" si="53"/>
        <v>9.6000000000000224e-002</v>
      </c>
      <c r="M207">
        <f t="shared" si="54"/>
        <v>8.4000000000000213e-002</v>
      </c>
      <c r="N207">
        <f t="shared" si="55"/>
        <v>7.2000000000000161e-002</v>
      </c>
      <c r="O207" s="4">
        <f t="shared" si="56"/>
        <v>68.328000000000102</v>
      </c>
      <c r="P207">
        <f t="shared" si="57"/>
        <v>60.736000000000097</v>
      </c>
      <c r="Q207">
        <f t="shared" si="58"/>
        <v>53.144000000000055</v>
      </c>
      <c r="R207">
        <f t="shared" si="59"/>
        <v>45.552000000000042</v>
      </c>
    </row>
    <row r="208" ht="14.25">
      <c r="A208">
        <v>1304775</v>
      </c>
      <c r="B208">
        <v>11.33</v>
      </c>
      <c r="C208">
        <v>76.930000000000007</v>
      </c>
      <c r="D208">
        <v>88</v>
      </c>
      <c r="E208">
        <v>36.899999999999999</v>
      </c>
      <c r="F208">
        <f t="shared" si="48"/>
        <v>21.699999999999999</v>
      </c>
      <c r="G208">
        <f t="shared" si="49"/>
        <v>55.299999999999997</v>
      </c>
      <c r="H208">
        <v>37.5</v>
      </c>
      <c r="I208">
        <f t="shared" si="50"/>
        <v>24.399999999999999</v>
      </c>
      <c r="J208">
        <f t="shared" si="51"/>
        <v>0.60000000000000142</v>
      </c>
      <c r="K208">
        <f t="shared" si="52"/>
        <v>0.10800000000000025</v>
      </c>
      <c r="L208">
        <f t="shared" si="53"/>
        <v>9.6000000000000224e-002</v>
      </c>
      <c r="M208">
        <f t="shared" si="54"/>
        <v>8.4000000000000213e-002</v>
      </c>
      <c r="N208">
        <f t="shared" si="55"/>
        <v>7.2000000000000161e-002</v>
      </c>
      <c r="O208" s="4">
        <f t="shared" si="56"/>
        <v>68.436000000000107</v>
      </c>
      <c r="P208">
        <f t="shared" si="57"/>
        <v>60.8320000000001</v>
      </c>
      <c r="Q208">
        <f t="shared" si="58"/>
        <v>53.228000000000058</v>
      </c>
      <c r="R208">
        <f t="shared" si="59"/>
        <v>45.624000000000045</v>
      </c>
    </row>
    <row r="209" ht="14.25">
      <c r="A209">
        <v>1311078</v>
      </c>
      <c r="B209">
        <v>12.67</v>
      </c>
      <c r="C209">
        <v>77.060000000000002</v>
      </c>
      <c r="D209">
        <v>89</v>
      </c>
      <c r="E209">
        <v>36.899999999999999</v>
      </c>
      <c r="F209">
        <f t="shared" si="48"/>
        <v>21.899999999999999</v>
      </c>
      <c r="G209">
        <f t="shared" si="49"/>
        <v>56</v>
      </c>
      <c r="H209">
        <v>37.5</v>
      </c>
      <c r="I209">
        <f t="shared" si="50"/>
        <v>24.600000000000001</v>
      </c>
      <c r="J209">
        <f t="shared" si="51"/>
        <v>0.60000000000000142</v>
      </c>
      <c r="K209">
        <f t="shared" si="52"/>
        <v>0.10800000000000025</v>
      </c>
      <c r="L209">
        <f t="shared" si="53"/>
        <v>9.6000000000000224e-002</v>
      </c>
      <c r="M209">
        <f t="shared" si="54"/>
        <v>8.4000000000000213e-002</v>
      </c>
      <c r="N209">
        <f t="shared" si="55"/>
        <v>7.2000000000000161e-002</v>
      </c>
      <c r="O209" s="4">
        <f t="shared" si="56"/>
        <v>68.544000000000111</v>
      </c>
      <c r="P209">
        <f t="shared" si="57"/>
        <v>60.928000000000104</v>
      </c>
      <c r="Q209">
        <f t="shared" si="58"/>
        <v>53.312000000000062</v>
      </c>
      <c r="R209">
        <f t="shared" si="59"/>
        <v>45.696000000000048</v>
      </c>
    </row>
    <row r="210" ht="14.25">
      <c r="A210">
        <v>1317382</v>
      </c>
      <c r="B210">
        <v>10.67</v>
      </c>
      <c r="C210">
        <v>77.170000000000002</v>
      </c>
      <c r="D210">
        <v>87</v>
      </c>
      <c r="E210">
        <v>37.100000000000001</v>
      </c>
      <c r="F210">
        <f t="shared" si="48"/>
        <v>22</v>
      </c>
      <c r="G210">
        <f t="shared" si="49"/>
        <v>54.700000000000003</v>
      </c>
      <c r="H210">
        <v>37.5</v>
      </c>
      <c r="I210">
        <f t="shared" si="50"/>
        <v>24.100000000000001</v>
      </c>
      <c r="J210">
        <f t="shared" si="51"/>
        <v>0.39999999999999858</v>
      </c>
      <c r="K210">
        <f t="shared" si="52"/>
        <v>7.1999999999999745e-002</v>
      </c>
      <c r="L210">
        <f t="shared" si="53"/>
        <v>6.3999999999999779e-002</v>
      </c>
      <c r="M210">
        <f t="shared" si="54"/>
        <v>5.5999999999999807e-002</v>
      </c>
      <c r="N210">
        <f t="shared" si="55"/>
        <v>4.7999999999999828e-002</v>
      </c>
      <c r="O210" s="4">
        <f t="shared" si="56"/>
        <v>68.652000000000115</v>
      </c>
      <c r="P210">
        <f t="shared" si="57"/>
        <v>61.024000000000107</v>
      </c>
      <c r="Q210">
        <f t="shared" si="58"/>
        <v>53.396000000000065</v>
      </c>
      <c r="R210">
        <f t="shared" si="59"/>
        <v>45.76800000000005</v>
      </c>
    </row>
    <row r="211" ht="14.25">
      <c r="A211">
        <v>1323684</v>
      </c>
      <c r="B211">
        <v>8.6699999999999999</v>
      </c>
      <c r="C211">
        <v>77.25</v>
      </c>
      <c r="D211">
        <v>85</v>
      </c>
      <c r="E211">
        <v>37.100000000000001</v>
      </c>
      <c r="F211">
        <f t="shared" si="48"/>
        <v>22.100000000000001</v>
      </c>
      <c r="G211">
        <f t="shared" si="49"/>
        <v>53.5</v>
      </c>
      <c r="H211">
        <v>37.5</v>
      </c>
      <c r="I211">
        <f t="shared" si="50"/>
        <v>23.5</v>
      </c>
      <c r="J211">
        <f t="shared" si="51"/>
        <v>0.39999999999999858</v>
      </c>
      <c r="K211">
        <f t="shared" si="52"/>
        <v>7.1999999999999745e-002</v>
      </c>
      <c r="L211">
        <f t="shared" si="53"/>
        <v>6.3999999999999779e-002</v>
      </c>
      <c r="M211">
        <f t="shared" si="54"/>
        <v>5.5999999999999807e-002</v>
      </c>
      <c r="N211">
        <f t="shared" si="55"/>
        <v>4.7999999999999828e-002</v>
      </c>
      <c r="O211" s="4">
        <f t="shared" si="56"/>
        <v>68.724000000000117</v>
      </c>
      <c r="P211">
        <f t="shared" si="57"/>
        <v>61.088000000000108</v>
      </c>
      <c r="Q211">
        <f t="shared" si="58"/>
        <v>53.452000000000062</v>
      </c>
      <c r="R211">
        <f t="shared" si="59"/>
        <v>45.816000000000052</v>
      </c>
    </row>
    <row r="212" ht="14.25">
      <c r="A212">
        <v>1329987</v>
      </c>
      <c r="B212">
        <v>10</v>
      </c>
      <c r="C212">
        <v>77.349999999999994</v>
      </c>
      <c r="D212">
        <v>87</v>
      </c>
      <c r="E212">
        <v>37.100000000000001</v>
      </c>
      <c r="F212">
        <f t="shared" si="48"/>
        <v>22.199999999999999</v>
      </c>
      <c r="G212">
        <f t="shared" si="49"/>
        <v>54.700000000000003</v>
      </c>
      <c r="H212">
        <v>37.5</v>
      </c>
      <c r="I212">
        <f t="shared" si="50"/>
        <v>24.100000000000001</v>
      </c>
      <c r="J212">
        <f t="shared" si="51"/>
        <v>0.39999999999999858</v>
      </c>
      <c r="K212">
        <f t="shared" si="52"/>
        <v>7.1999999999999745e-002</v>
      </c>
      <c r="L212">
        <f t="shared" si="53"/>
        <v>6.3999999999999779e-002</v>
      </c>
      <c r="M212">
        <f t="shared" si="54"/>
        <v>5.5999999999999807e-002</v>
      </c>
      <c r="N212">
        <f t="shared" si="55"/>
        <v>4.7999999999999828e-002</v>
      </c>
      <c r="O212" s="4">
        <f t="shared" si="56"/>
        <v>68.79600000000012</v>
      </c>
      <c r="P212">
        <f t="shared" si="57"/>
        <v>61.152000000000108</v>
      </c>
      <c r="Q212">
        <f t="shared" si="58"/>
        <v>53.50800000000006</v>
      </c>
      <c r="R212">
        <f t="shared" si="59"/>
        <v>45.864000000000054</v>
      </c>
    </row>
    <row r="213" ht="14.25">
      <c r="A213">
        <v>1336290</v>
      </c>
      <c r="B213">
        <v>8.6699999999999999</v>
      </c>
      <c r="C213">
        <v>77.439999999999998</v>
      </c>
      <c r="D213">
        <v>86</v>
      </c>
      <c r="E213">
        <v>37</v>
      </c>
      <c r="F213">
        <f t="shared" si="48"/>
        <v>22.300000000000001</v>
      </c>
      <c r="G213">
        <f t="shared" si="49"/>
        <v>54.100000000000001</v>
      </c>
      <c r="H213">
        <v>37.5</v>
      </c>
      <c r="I213">
        <f t="shared" si="50"/>
        <v>23.800000000000001</v>
      </c>
      <c r="J213">
        <f t="shared" si="51"/>
        <v>0.5</v>
      </c>
      <c r="K213">
        <f t="shared" si="52"/>
        <v>8.9999999999999997e-002</v>
      </c>
      <c r="L213">
        <f t="shared" si="53"/>
        <v>8.0000000000000002e-002</v>
      </c>
      <c r="M213">
        <f t="shared" si="54"/>
        <v>7.0000000000000007e-002</v>
      </c>
      <c r="N213">
        <f t="shared" si="55"/>
        <v>5.9999999999999998e-002</v>
      </c>
      <c r="O213" s="4">
        <f t="shared" si="56"/>
        <v>68.868000000000123</v>
      </c>
      <c r="P213">
        <f t="shared" si="57"/>
        <v>61.216000000000108</v>
      </c>
      <c r="Q213">
        <f t="shared" si="58"/>
        <v>53.564000000000057</v>
      </c>
      <c r="R213">
        <f t="shared" si="59"/>
        <v>45.912000000000056</v>
      </c>
    </row>
    <row r="214" ht="14.25">
      <c r="A214">
        <v>1342594</v>
      </c>
      <c r="B214">
        <v>8.6699999999999999</v>
      </c>
      <c r="C214">
        <v>77.530000000000001</v>
      </c>
      <c r="D214">
        <v>86</v>
      </c>
      <c r="E214">
        <v>37</v>
      </c>
      <c r="F214">
        <f t="shared" si="48"/>
        <v>22.399999999999999</v>
      </c>
      <c r="G214">
        <f t="shared" si="49"/>
        <v>54.100000000000001</v>
      </c>
      <c r="H214">
        <v>37.5</v>
      </c>
      <c r="I214">
        <f t="shared" si="50"/>
        <v>23.800000000000001</v>
      </c>
      <c r="J214">
        <f t="shared" si="51"/>
        <v>0.5</v>
      </c>
      <c r="K214">
        <f t="shared" si="52"/>
        <v>8.9999999999999997e-002</v>
      </c>
      <c r="L214">
        <f t="shared" si="53"/>
        <v>8.0000000000000002e-002</v>
      </c>
      <c r="M214">
        <f t="shared" si="54"/>
        <v>7.0000000000000007e-002</v>
      </c>
      <c r="N214">
        <f t="shared" si="55"/>
        <v>5.9999999999999998e-002</v>
      </c>
      <c r="O214" s="4">
        <f t="shared" si="56"/>
        <v>68.958000000000126</v>
      </c>
      <c r="P214">
        <f t="shared" si="57"/>
        <v>61.296000000000106</v>
      </c>
      <c r="Q214">
        <f t="shared" si="58"/>
        <v>53.634000000000057</v>
      </c>
      <c r="R214">
        <f t="shared" si="59"/>
        <v>45.972000000000058</v>
      </c>
    </row>
    <row r="215" ht="14.25">
      <c r="A215">
        <v>1348896</v>
      </c>
      <c r="B215">
        <v>9.3300000000000001</v>
      </c>
      <c r="C215">
        <v>77.620000000000005</v>
      </c>
      <c r="D215">
        <v>86</v>
      </c>
      <c r="E215">
        <v>37</v>
      </c>
      <c r="F215">
        <f t="shared" si="48"/>
        <v>22.5</v>
      </c>
      <c r="G215">
        <f t="shared" si="49"/>
        <v>54.100000000000001</v>
      </c>
      <c r="H215">
        <v>37.5</v>
      </c>
      <c r="I215">
        <f t="shared" si="50"/>
        <v>23.800000000000001</v>
      </c>
      <c r="J215">
        <f t="shared" si="51"/>
        <v>0.5</v>
      </c>
      <c r="K215">
        <f t="shared" si="52"/>
        <v>8.9999999999999997e-002</v>
      </c>
      <c r="L215">
        <f t="shared" si="53"/>
        <v>8.0000000000000002e-002</v>
      </c>
      <c r="M215">
        <f t="shared" si="54"/>
        <v>7.0000000000000007e-002</v>
      </c>
      <c r="N215">
        <f t="shared" si="55"/>
        <v>5.9999999999999998e-002</v>
      </c>
      <c r="O215" s="4">
        <f t="shared" si="56"/>
        <v>69.04800000000013</v>
      </c>
      <c r="P215">
        <f t="shared" si="57"/>
        <v>61.376000000000104</v>
      </c>
      <c r="Q215">
        <f t="shared" si="58"/>
        <v>53.704000000000057</v>
      </c>
      <c r="R215">
        <f t="shared" si="59"/>
        <v>46.03200000000006</v>
      </c>
    </row>
    <row r="216" ht="14.25">
      <c r="A216">
        <v>1355199</v>
      </c>
      <c r="B216">
        <v>8</v>
      </c>
      <c r="C216">
        <v>77.700000000000003</v>
      </c>
      <c r="D216">
        <v>85</v>
      </c>
      <c r="E216">
        <v>37.100000000000001</v>
      </c>
      <c r="F216">
        <f t="shared" si="48"/>
        <v>22.600000000000001</v>
      </c>
      <c r="G216">
        <f t="shared" si="49"/>
        <v>53.5</v>
      </c>
      <c r="H216">
        <v>37.5</v>
      </c>
      <c r="I216">
        <f t="shared" si="50"/>
        <v>23.5</v>
      </c>
      <c r="J216">
        <f t="shared" si="51"/>
        <v>0.39999999999999858</v>
      </c>
      <c r="K216">
        <f t="shared" si="52"/>
        <v>7.1999999999999745e-002</v>
      </c>
      <c r="L216">
        <f t="shared" si="53"/>
        <v>6.3999999999999779e-002</v>
      </c>
      <c r="M216">
        <f t="shared" si="54"/>
        <v>5.5999999999999807e-002</v>
      </c>
      <c r="N216">
        <f t="shared" si="55"/>
        <v>4.7999999999999828e-002</v>
      </c>
      <c r="O216" s="4">
        <f t="shared" si="56"/>
        <v>69.138000000000133</v>
      </c>
      <c r="P216">
        <f t="shared" si="57"/>
        <v>61.456000000000103</v>
      </c>
      <c r="Q216">
        <f t="shared" si="58"/>
        <v>53.774000000000058</v>
      </c>
      <c r="R216">
        <f t="shared" si="59"/>
        <v>46.092000000000063</v>
      </c>
    </row>
    <row r="217" ht="14.25">
      <c r="A217">
        <v>1361503</v>
      </c>
      <c r="B217">
        <v>8.6699999999999999</v>
      </c>
      <c r="C217">
        <v>77.790000000000006</v>
      </c>
      <c r="D217">
        <v>86</v>
      </c>
      <c r="E217">
        <v>37.100000000000001</v>
      </c>
      <c r="F217">
        <f t="shared" si="48"/>
        <v>22.699999999999999</v>
      </c>
      <c r="G217">
        <f t="shared" si="49"/>
        <v>54.100000000000001</v>
      </c>
      <c r="H217">
        <v>37.5</v>
      </c>
      <c r="I217">
        <f t="shared" si="50"/>
        <v>23.800000000000001</v>
      </c>
      <c r="J217">
        <f t="shared" si="51"/>
        <v>0.39999999999999858</v>
      </c>
      <c r="K217">
        <f t="shared" si="52"/>
        <v>7.1999999999999745e-002</v>
      </c>
      <c r="L217">
        <f t="shared" si="53"/>
        <v>6.3999999999999779e-002</v>
      </c>
      <c r="M217">
        <f t="shared" si="54"/>
        <v>5.5999999999999807e-002</v>
      </c>
      <c r="N217">
        <f t="shared" si="55"/>
        <v>4.7999999999999828e-002</v>
      </c>
      <c r="O217" s="4">
        <f t="shared" si="56"/>
        <v>69.210000000000136</v>
      </c>
      <c r="P217">
        <f t="shared" si="57"/>
        <v>61.520000000000103</v>
      </c>
      <c r="Q217">
        <f t="shared" si="58"/>
        <v>53.830000000000055</v>
      </c>
      <c r="R217">
        <f t="shared" si="59"/>
        <v>46.140000000000065</v>
      </c>
    </row>
    <row r="218" ht="14.25">
      <c r="A218">
        <v>1367806</v>
      </c>
      <c r="B218">
        <v>7.3300000000000001</v>
      </c>
      <c r="C218">
        <v>77.859999999999999</v>
      </c>
      <c r="D218">
        <v>85</v>
      </c>
      <c r="E218">
        <v>37.200000000000003</v>
      </c>
      <c r="F218">
        <f t="shared" si="48"/>
        <v>22.800000000000001</v>
      </c>
      <c r="G218">
        <f t="shared" si="49"/>
        <v>53.5</v>
      </c>
      <c r="H218">
        <v>37.5</v>
      </c>
      <c r="I218">
        <f t="shared" si="50"/>
        <v>23.5</v>
      </c>
      <c r="J218">
        <f t="shared" si="51"/>
        <v>0.29999999999999716</v>
      </c>
      <c r="K218">
        <f t="shared" si="52"/>
        <v>5.3999999999999486e-002</v>
      </c>
      <c r="L218">
        <f t="shared" si="53"/>
        <v>4.7999999999999543e-002</v>
      </c>
      <c r="M218">
        <f t="shared" si="54"/>
        <v>4.1999999999999607e-002</v>
      </c>
      <c r="N218">
        <f t="shared" si="55"/>
        <v>3.5999999999999657e-002</v>
      </c>
      <c r="O218" s="4">
        <f t="shared" si="56"/>
        <v>69.282000000000139</v>
      </c>
      <c r="P218">
        <f t="shared" si="57"/>
        <v>61.584000000000103</v>
      </c>
      <c r="Q218">
        <f t="shared" si="58"/>
        <v>53.886000000000053</v>
      </c>
      <c r="R218">
        <f t="shared" si="59"/>
        <v>46.188000000000066</v>
      </c>
    </row>
    <row r="219" ht="14.25">
      <c r="A219">
        <v>1374110</v>
      </c>
      <c r="B219">
        <v>6</v>
      </c>
      <c r="C219">
        <v>77.920000000000002</v>
      </c>
      <c r="D219">
        <v>83</v>
      </c>
      <c r="E219">
        <v>37.100000000000001</v>
      </c>
      <c r="F219">
        <f t="shared" si="48"/>
        <v>22.899999999999999</v>
      </c>
      <c r="G219">
        <f t="shared" si="49"/>
        <v>52.200000000000003</v>
      </c>
      <c r="H219">
        <v>37.5</v>
      </c>
      <c r="I219">
        <f t="shared" si="50"/>
        <v>23</v>
      </c>
      <c r="J219">
        <f t="shared" si="51"/>
        <v>0.39999999999999858</v>
      </c>
      <c r="K219">
        <f t="shared" si="52"/>
        <v>7.1999999999999745e-002</v>
      </c>
      <c r="L219">
        <f t="shared" si="53"/>
        <v>6.3999999999999779e-002</v>
      </c>
      <c r="M219">
        <f t="shared" si="54"/>
        <v>5.5999999999999807e-002</v>
      </c>
      <c r="N219">
        <f t="shared" si="55"/>
        <v>4.7999999999999828e-002</v>
      </c>
      <c r="O219" s="4">
        <f t="shared" si="56"/>
        <v>69.336000000000141</v>
      </c>
      <c r="P219">
        <f t="shared" si="57"/>
        <v>61.632000000000104</v>
      </c>
      <c r="Q219">
        <f t="shared" si="58"/>
        <v>53.928000000000054</v>
      </c>
      <c r="R219">
        <f t="shared" si="59"/>
        <v>46.224000000000068</v>
      </c>
    </row>
    <row r="220" ht="14.25">
      <c r="A220">
        <v>1380414</v>
      </c>
      <c r="B220">
        <v>7.3300000000000001</v>
      </c>
      <c r="C220">
        <v>77.989999999999995</v>
      </c>
      <c r="D220">
        <v>85</v>
      </c>
      <c r="E220">
        <v>37.200000000000003</v>
      </c>
      <c r="F220">
        <f t="shared" si="48"/>
        <v>23</v>
      </c>
      <c r="G220">
        <f t="shared" si="49"/>
        <v>53.5</v>
      </c>
      <c r="H220">
        <v>37.5</v>
      </c>
      <c r="I220">
        <f t="shared" si="50"/>
        <v>23.5</v>
      </c>
      <c r="J220">
        <f t="shared" si="51"/>
        <v>0.29999999999999716</v>
      </c>
      <c r="K220">
        <f t="shared" si="52"/>
        <v>5.3999999999999486e-002</v>
      </c>
      <c r="L220">
        <f t="shared" si="53"/>
        <v>4.7999999999999543e-002</v>
      </c>
      <c r="M220">
        <f t="shared" si="54"/>
        <v>4.1999999999999607e-002</v>
      </c>
      <c r="N220">
        <f t="shared" si="55"/>
        <v>3.5999999999999657e-002</v>
      </c>
      <c r="O220" s="4">
        <f t="shared" si="56"/>
        <v>69.408000000000143</v>
      </c>
      <c r="P220">
        <f t="shared" si="57"/>
        <v>61.696000000000105</v>
      </c>
      <c r="Q220">
        <f t="shared" si="58"/>
        <v>53.984000000000052</v>
      </c>
      <c r="R220">
        <f t="shared" si="59"/>
        <v>46.27200000000007</v>
      </c>
    </row>
    <row r="221" ht="14.25">
      <c r="A221">
        <v>1386718</v>
      </c>
      <c r="B221">
        <v>5.3300000000000001</v>
      </c>
      <c r="C221">
        <v>78.049999999999997</v>
      </c>
      <c r="D221">
        <v>83</v>
      </c>
      <c r="E221">
        <v>37.200000000000003</v>
      </c>
      <c r="F221">
        <f t="shared" si="48"/>
        <v>23.100000000000001</v>
      </c>
      <c r="G221">
        <f t="shared" si="49"/>
        <v>52.200000000000003</v>
      </c>
      <c r="H221">
        <v>37.5</v>
      </c>
      <c r="I221">
        <f t="shared" si="50"/>
        <v>23</v>
      </c>
      <c r="J221">
        <f t="shared" si="51"/>
        <v>0.29999999999999716</v>
      </c>
      <c r="K221">
        <f t="shared" si="52"/>
        <v>5.3999999999999486e-002</v>
      </c>
      <c r="L221">
        <f t="shared" si="53"/>
        <v>4.7999999999999543e-002</v>
      </c>
      <c r="M221">
        <f t="shared" si="54"/>
        <v>4.1999999999999607e-002</v>
      </c>
      <c r="N221">
        <f t="shared" si="55"/>
        <v>3.5999999999999657e-002</v>
      </c>
      <c r="O221" s="4">
        <f t="shared" si="56"/>
        <v>69.462000000000145</v>
      </c>
      <c r="P221">
        <f t="shared" si="57"/>
        <v>61.744000000000106</v>
      </c>
      <c r="Q221">
        <f t="shared" si="58"/>
        <v>54.026000000000053</v>
      </c>
      <c r="R221">
        <f t="shared" si="59"/>
        <v>46.308000000000071</v>
      </c>
    </row>
    <row r="222" ht="14.25">
      <c r="A222">
        <v>1393020</v>
      </c>
      <c r="B222">
        <v>6.6699999999999999</v>
      </c>
      <c r="C222">
        <v>78.109999999999999</v>
      </c>
      <c r="D222">
        <v>84</v>
      </c>
      <c r="E222">
        <v>37.200000000000003</v>
      </c>
      <c r="F222">
        <f t="shared" si="48"/>
        <v>23.199999999999999</v>
      </c>
      <c r="G222">
        <f t="shared" si="49"/>
        <v>52.799999999999997</v>
      </c>
      <c r="H222">
        <v>37.5</v>
      </c>
      <c r="I222">
        <f t="shared" si="50"/>
        <v>23.199999999999999</v>
      </c>
      <c r="J222">
        <f t="shared" si="51"/>
        <v>0.29999999999999716</v>
      </c>
      <c r="K222">
        <f t="shared" si="52"/>
        <v>5.3999999999999486e-002</v>
      </c>
      <c r="L222">
        <f t="shared" si="53"/>
        <v>4.7999999999999543e-002</v>
      </c>
      <c r="M222">
        <f t="shared" si="54"/>
        <v>4.1999999999999607e-002</v>
      </c>
      <c r="N222">
        <f t="shared" si="55"/>
        <v>3.5999999999999657e-002</v>
      </c>
      <c r="O222" s="4">
        <f t="shared" si="56"/>
        <v>69.516000000000147</v>
      </c>
      <c r="P222">
        <f t="shared" si="57"/>
        <v>61.792000000000108</v>
      </c>
      <c r="Q222">
        <f t="shared" si="58"/>
        <v>54.068000000000055</v>
      </c>
      <c r="R222">
        <f t="shared" si="59"/>
        <v>46.344000000000072</v>
      </c>
    </row>
    <row r="223" ht="14.25">
      <c r="A223">
        <v>1399323</v>
      </c>
      <c r="B223">
        <v>6</v>
      </c>
      <c r="C223">
        <v>78.170000000000002</v>
      </c>
      <c r="D223">
        <v>84</v>
      </c>
      <c r="E223">
        <v>37.200000000000003</v>
      </c>
      <c r="F223">
        <f t="shared" si="48"/>
        <v>23.300000000000001</v>
      </c>
      <c r="G223">
        <f t="shared" si="49"/>
        <v>52.799999999999997</v>
      </c>
      <c r="H223">
        <v>37.5</v>
      </c>
      <c r="I223">
        <f t="shared" si="50"/>
        <v>23.199999999999999</v>
      </c>
      <c r="J223">
        <f t="shared" si="51"/>
        <v>0.29999999999999716</v>
      </c>
      <c r="K223">
        <f t="shared" si="52"/>
        <v>5.3999999999999486e-002</v>
      </c>
      <c r="L223">
        <f t="shared" si="53"/>
        <v>4.7999999999999543e-002</v>
      </c>
      <c r="M223">
        <f t="shared" si="54"/>
        <v>4.1999999999999607e-002</v>
      </c>
      <c r="N223">
        <f t="shared" si="55"/>
        <v>3.5999999999999657e-002</v>
      </c>
      <c r="O223" s="4">
        <f t="shared" si="56"/>
        <v>69.570000000000149</v>
      </c>
      <c r="P223">
        <f t="shared" si="57"/>
        <v>61.84000000000011</v>
      </c>
      <c r="Q223">
        <f t="shared" si="58"/>
        <v>54.110000000000056</v>
      </c>
      <c r="R223">
        <f t="shared" si="59"/>
        <v>46.380000000000074</v>
      </c>
    </row>
    <row r="224" ht="14.25">
      <c r="A224">
        <v>1405626</v>
      </c>
      <c r="B224">
        <v>5.3300000000000001</v>
      </c>
      <c r="C224">
        <v>78.230000000000004</v>
      </c>
      <c r="D224">
        <v>83</v>
      </c>
      <c r="E224">
        <v>37.200000000000003</v>
      </c>
      <c r="F224">
        <f t="shared" si="48"/>
        <v>23.399999999999999</v>
      </c>
      <c r="G224">
        <f t="shared" si="49"/>
        <v>52.200000000000003</v>
      </c>
      <c r="H224">
        <v>37.5</v>
      </c>
      <c r="I224">
        <f t="shared" si="50"/>
        <v>23</v>
      </c>
      <c r="J224">
        <f t="shared" si="51"/>
        <v>0.29999999999999716</v>
      </c>
      <c r="K224">
        <f t="shared" si="52"/>
        <v>5.3999999999999486e-002</v>
      </c>
      <c r="L224">
        <f t="shared" si="53"/>
        <v>4.7999999999999543e-002</v>
      </c>
      <c r="M224">
        <f t="shared" si="54"/>
        <v>4.1999999999999607e-002</v>
      </c>
      <c r="N224">
        <f t="shared" si="55"/>
        <v>3.5999999999999657e-002</v>
      </c>
      <c r="O224" s="4">
        <f t="shared" si="56"/>
        <v>69.624000000000152</v>
      </c>
      <c r="P224">
        <f t="shared" si="57"/>
        <v>61.888000000000112</v>
      </c>
      <c r="Q224">
        <f t="shared" si="58"/>
        <v>54.152000000000058</v>
      </c>
      <c r="R224">
        <f t="shared" si="59"/>
        <v>46.416000000000075</v>
      </c>
    </row>
    <row r="225" ht="14.25">
      <c r="A225">
        <v>1411930</v>
      </c>
      <c r="B225">
        <v>5.3300000000000001</v>
      </c>
      <c r="C225">
        <v>78.280000000000001</v>
      </c>
      <c r="D225">
        <v>83</v>
      </c>
      <c r="E225">
        <v>37.299999999999997</v>
      </c>
      <c r="F225">
        <f t="shared" si="48"/>
        <v>23.5</v>
      </c>
      <c r="G225">
        <f t="shared" si="49"/>
        <v>52.200000000000003</v>
      </c>
      <c r="H225">
        <v>37.5</v>
      </c>
      <c r="I225">
        <f t="shared" si="50"/>
        <v>23</v>
      </c>
      <c r="J225">
        <f t="shared" si="51"/>
        <v>0.20000000000000284</v>
      </c>
      <c r="K225">
        <f t="shared" si="52"/>
        <v>3.6000000000000511e-002</v>
      </c>
      <c r="L225">
        <f t="shared" si="53"/>
        <v>3.2000000000000459e-002</v>
      </c>
      <c r="M225">
        <f t="shared" si="54"/>
        <v>2.80000000000004e-002</v>
      </c>
      <c r="N225">
        <f t="shared" si="55"/>
        <v>2.4000000000000341e-002</v>
      </c>
      <c r="O225" s="4">
        <f t="shared" si="56"/>
        <v>69.678000000000154</v>
      </c>
      <c r="P225">
        <f t="shared" si="57"/>
        <v>61.936000000000114</v>
      </c>
      <c r="Q225">
        <f t="shared" si="58"/>
        <v>54.194000000000059</v>
      </c>
      <c r="R225">
        <f t="shared" si="59"/>
        <v>46.452000000000076</v>
      </c>
    </row>
    <row r="226" ht="14.25">
      <c r="A226">
        <v>1418232</v>
      </c>
      <c r="B226">
        <v>6.6699999999999999</v>
      </c>
      <c r="C226">
        <v>78.349999999999994</v>
      </c>
      <c r="D226">
        <v>85</v>
      </c>
      <c r="E226">
        <v>37.200000000000003</v>
      </c>
      <c r="F226">
        <f t="shared" si="48"/>
        <v>23.600000000000001</v>
      </c>
      <c r="G226">
        <f t="shared" si="49"/>
        <v>53.5</v>
      </c>
      <c r="H226">
        <v>37.5</v>
      </c>
      <c r="I226">
        <f t="shared" si="50"/>
        <v>23.5</v>
      </c>
      <c r="J226">
        <f t="shared" si="51"/>
        <v>0.29999999999999716</v>
      </c>
      <c r="K226">
        <f t="shared" si="52"/>
        <v>5.3999999999999486e-002</v>
      </c>
      <c r="L226">
        <f t="shared" si="53"/>
        <v>4.7999999999999543e-002</v>
      </c>
      <c r="M226">
        <f t="shared" si="54"/>
        <v>4.1999999999999607e-002</v>
      </c>
      <c r="N226">
        <f t="shared" si="55"/>
        <v>3.5999999999999657e-002</v>
      </c>
      <c r="O226" s="4">
        <f t="shared" si="56"/>
        <v>69.714000000000155</v>
      </c>
      <c r="P226">
        <f t="shared" si="57"/>
        <v>61.968000000000117</v>
      </c>
      <c r="Q226">
        <f t="shared" si="58"/>
        <v>54.222000000000058</v>
      </c>
      <c r="R226">
        <f t="shared" si="59"/>
        <v>46.476000000000077</v>
      </c>
    </row>
    <row r="227" ht="14.25">
      <c r="A227">
        <v>1424535</v>
      </c>
      <c r="B227">
        <v>4</v>
      </c>
      <c r="C227">
        <v>78.390000000000001</v>
      </c>
      <c r="D227">
        <v>82</v>
      </c>
      <c r="E227">
        <v>37.299999999999997</v>
      </c>
      <c r="F227">
        <f t="shared" si="48"/>
        <v>23.699999999999999</v>
      </c>
      <c r="G227">
        <f t="shared" si="49"/>
        <v>51.600000000000001</v>
      </c>
      <c r="H227">
        <v>37.5</v>
      </c>
      <c r="I227">
        <f t="shared" si="50"/>
        <v>22.699999999999999</v>
      </c>
      <c r="J227">
        <f t="shared" si="51"/>
        <v>0.20000000000000284</v>
      </c>
      <c r="K227">
        <f t="shared" si="52"/>
        <v>3.6000000000000511e-002</v>
      </c>
      <c r="L227">
        <f t="shared" si="53"/>
        <v>3.2000000000000459e-002</v>
      </c>
      <c r="M227">
        <f t="shared" si="54"/>
        <v>2.80000000000004e-002</v>
      </c>
      <c r="N227">
        <f t="shared" si="55"/>
        <v>2.4000000000000341e-002</v>
      </c>
      <c r="O227" s="4">
        <f t="shared" si="56"/>
        <v>69.768000000000157</v>
      </c>
      <c r="P227">
        <f t="shared" si="57"/>
        <v>62.016000000000119</v>
      </c>
      <c r="Q227">
        <f t="shared" si="58"/>
        <v>54.26400000000006</v>
      </c>
      <c r="R227">
        <f t="shared" si="59"/>
        <v>46.512000000000079</v>
      </c>
    </row>
    <row r="228" ht="14.25">
      <c r="A228">
        <v>1430838</v>
      </c>
      <c r="B228">
        <v>2</v>
      </c>
      <c r="C228">
        <v>78.409999999999997</v>
      </c>
      <c r="D228">
        <v>80</v>
      </c>
      <c r="E228">
        <v>37.399999999999999</v>
      </c>
      <c r="F228">
        <f t="shared" ref="F228:F288" si="60">ROUND(A228/60000,1)</f>
        <v>23.800000000000001</v>
      </c>
      <c r="G228">
        <f t="shared" ref="G228:G288" si="61">ROUND((D228/159)*100,1)</f>
        <v>50.299999999999997</v>
      </c>
      <c r="H228">
        <v>37.5</v>
      </c>
      <c r="I228">
        <f t="shared" ref="I228:I288" si="62">ROUND((D228/159)*44,1)</f>
        <v>22.100000000000001</v>
      </c>
      <c r="J228">
        <f t="shared" ref="J228:J288" si="63">37.5-E228</f>
        <v>0.10000000000000142</v>
      </c>
      <c r="K228">
        <f t="shared" ref="K228:K288" si="64">J228*0.18</f>
        <v>1.8000000000000255e-002</v>
      </c>
      <c r="L228">
        <f t="shared" ref="L228:L288" si="65">J228*0.16</f>
        <v>1.6000000000000229e-002</v>
      </c>
      <c r="M228">
        <f t="shared" ref="M228:M288" si="66">J228*0.14</f>
        <v>1.40000000000002e-002</v>
      </c>
      <c r="N228">
        <f t="shared" ref="N228:N288" si="67">J228*0.12</f>
        <v>1.200000000000017e-002</v>
      </c>
      <c r="O228" s="4">
        <f t="shared" si="56"/>
        <v>69.804000000000158</v>
      </c>
      <c r="P228">
        <f t="shared" si="57"/>
        <v>62.048000000000123</v>
      </c>
      <c r="Q228">
        <f t="shared" si="58"/>
        <v>54.292000000000058</v>
      </c>
      <c r="R228">
        <f t="shared" si="59"/>
        <v>46.53600000000008</v>
      </c>
    </row>
    <row r="229" ht="14.25">
      <c r="A229">
        <v>1437142</v>
      </c>
      <c r="B229">
        <v>4</v>
      </c>
      <c r="C229">
        <v>78.450000000000003</v>
      </c>
      <c r="D229">
        <v>82</v>
      </c>
      <c r="E229">
        <v>37.200000000000003</v>
      </c>
      <c r="F229">
        <f t="shared" si="60"/>
        <v>24</v>
      </c>
      <c r="G229">
        <f t="shared" si="61"/>
        <v>51.600000000000001</v>
      </c>
      <c r="H229">
        <v>37.5</v>
      </c>
      <c r="I229">
        <f t="shared" si="62"/>
        <v>22.699999999999999</v>
      </c>
      <c r="J229">
        <f t="shared" si="63"/>
        <v>0.29999999999999716</v>
      </c>
      <c r="K229">
        <f t="shared" si="64"/>
        <v>5.3999999999999486e-002</v>
      </c>
      <c r="L229">
        <f t="shared" si="65"/>
        <v>4.7999999999999543e-002</v>
      </c>
      <c r="M229">
        <f t="shared" si="66"/>
        <v>4.1999999999999607e-002</v>
      </c>
      <c r="N229">
        <f t="shared" si="67"/>
        <v>3.5999999999999657e-002</v>
      </c>
      <c r="O229" s="4">
        <f t="shared" ref="O229:O288" si="68">O228+K228</f>
        <v>69.822000000000159</v>
      </c>
      <c r="P229">
        <f t="shared" ref="P229:P288" si="69">P228+L228</f>
        <v>62.064000000000121</v>
      </c>
      <c r="Q229">
        <f t="shared" ref="Q229:Q288" si="70">Q228+M228</f>
        <v>54.306000000000061</v>
      </c>
      <c r="R229">
        <f t="shared" ref="R229:R288" si="71">R228+N228</f>
        <v>46.54800000000008</v>
      </c>
    </row>
    <row r="230" ht="14.25">
      <c r="A230">
        <v>1443444</v>
      </c>
      <c r="B230">
        <v>0.67000000000000004</v>
      </c>
      <c r="C230">
        <v>78.450000000000003</v>
      </c>
      <c r="D230">
        <v>79</v>
      </c>
      <c r="E230">
        <v>37.5</v>
      </c>
      <c r="F230">
        <f t="shared" si="60"/>
        <v>24.100000000000001</v>
      </c>
      <c r="G230">
        <f t="shared" si="61"/>
        <v>49.700000000000003</v>
      </c>
      <c r="H230">
        <v>37.5</v>
      </c>
      <c r="I230">
        <f t="shared" si="62"/>
        <v>21.899999999999999</v>
      </c>
      <c r="J230">
        <f t="shared" si="63"/>
        <v>0</v>
      </c>
      <c r="K230">
        <f t="shared" si="64"/>
        <v>0</v>
      </c>
      <c r="L230">
        <f t="shared" si="65"/>
        <v>0</v>
      </c>
      <c r="M230">
        <f t="shared" si="66"/>
        <v>0</v>
      </c>
      <c r="N230">
        <f t="shared" si="67"/>
        <v>0</v>
      </c>
      <c r="O230" s="4">
        <f t="shared" si="68"/>
        <v>69.876000000000161</v>
      </c>
      <c r="P230">
        <f t="shared" si="69"/>
        <v>62.112000000000123</v>
      </c>
      <c r="Q230">
        <f t="shared" si="70"/>
        <v>54.348000000000063</v>
      </c>
      <c r="R230">
        <f t="shared" si="71"/>
        <v>46.584000000000081</v>
      </c>
    </row>
    <row r="231" ht="14.25">
      <c r="A231">
        <v>1449748</v>
      </c>
      <c r="B231">
        <v>3.3300000000000001</v>
      </c>
      <c r="C231">
        <v>78.489999999999995</v>
      </c>
      <c r="D231">
        <v>81</v>
      </c>
      <c r="E231">
        <v>37.299999999999997</v>
      </c>
      <c r="F231">
        <f t="shared" si="60"/>
        <v>24.199999999999999</v>
      </c>
      <c r="G231">
        <f t="shared" si="61"/>
        <v>50.899999999999999</v>
      </c>
      <c r="H231">
        <v>37.5</v>
      </c>
      <c r="I231">
        <f t="shared" si="62"/>
        <v>22.399999999999999</v>
      </c>
      <c r="J231">
        <f t="shared" si="63"/>
        <v>0.20000000000000284</v>
      </c>
      <c r="K231">
        <f t="shared" si="64"/>
        <v>3.6000000000000511e-002</v>
      </c>
      <c r="L231">
        <f t="shared" si="65"/>
        <v>3.2000000000000459e-002</v>
      </c>
      <c r="M231">
        <f t="shared" si="66"/>
        <v>2.80000000000004e-002</v>
      </c>
      <c r="N231">
        <f t="shared" si="67"/>
        <v>2.4000000000000341e-002</v>
      </c>
      <c r="O231" s="4">
        <f t="shared" si="68"/>
        <v>69.876000000000161</v>
      </c>
      <c r="P231">
        <f t="shared" si="69"/>
        <v>62.112000000000123</v>
      </c>
      <c r="Q231">
        <f t="shared" si="70"/>
        <v>54.348000000000063</v>
      </c>
      <c r="R231">
        <f t="shared" si="71"/>
        <v>46.584000000000081</v>
      </c>
    </row>
    <row r="232" ht="14.25">
      <c r="A232">
        <v>1456052</v>
      </c>
      <c r="B232">
        <v>1.3300000000000001</v>
      </c>
      <c r="C232">
        <v>78.5</v>
      </c>
      <c r="D232">
        <v>79</v>
      </c>
      <c r="E232">
        <v>37.600000000000001</v>
      </c>
      <c r="F232">
        <f t="shared" si="60"/>
        <v>24.300000000000001</v>
      </c>
      <c r="G232">
        <f t="shared" si="61"/>
        <v>49.700000000000003</v>
      </c>
      <c r="H232">
        <v>37.5</v>
      </c>
      <c r="I232">
        <f t="shared" si="62"/>
        <v>21.899999999999999</v>
      </c>
      <c r="J232">
        <f t="shared" si="63"/>
        <v>-0.10000000000000142</v>
      </c>
      <c r="K232">
        <f t="shared" si="64"/>
        <v>-1.8000000000000255e-002</v>
      </c>
      <c r="L232">
        <f t="shared" si="65"/>
        <v>-1.6000000000000229e-002</v>
      </c>
      <c r="M232">
        <f t="shared" si="66"/>
        <v>-1.40000000000002e-002</v>
      </c>
      <c r="N232">
        <f t="shared" si="67"/>
        <v>-1.200000000000017e-002</v>
      </c>
      <c r="O232" s="4">
        <f t="shared" si="68"/>
        <v>69.912000000000162</v>
      </c>
      <c r="P232">
        <f t="shared" si="69"/>
        <v>62.144000000000126</v>
      </c>
      <c r="Q232">
        <f t="shared" si="70"/>
        <v>54.376000000000062</v>
      </c>
      <c r="R232">
        <f t="shared" si="71"/>
        <v>46.608000000000082</v>
      </c>
    </row>
    <row r="233" ht="14.25">
      <c r="A233">
        <v>1462355</v>
      </c>
      <c r="B233">
        <v>1.3300000000000001</v>
      </c>
      <c r="C233">
        <v>78.510000000000005</v>
      </c>
      <c r="D233">
        <v>79</v>
      </c>
      <c r="E233">
        <v>37.399999999999999</v>
      </c>
      <c r="F233">
        <f t="shared" si="60"/>
        <v>24.399999999999999</v>
      </c>
      <c r="G233">
        <f t="shared" si="61"/>
        <v>49.700000000000003</v>
      </c>
      <c r="H233">
        <v>37.5</v>
      </c>
      <c r="I233">
        <f t="shared" si="62"/>
        <v>21.899999999999999</v>
      </c>
      <c r="J233">
        <f t="shared" si="63"/>
        <v>0.10000000000000142</v>
      </c>
      <c r="K233">
        <f t="shared" si="64"/>
        <v>1.8000000000000255e-002</v>
      </c>
      <c r="L233">
        <f t="shared" si="65"/>
        <v>1.6000000000000229e-002</v>
      </c>
      <c r="M233">
        <f t="shared" si="66"/>
        <v>1.40000000000002e-002</v>
      </c>
      <c r="N233">
        <f t="shared" si="67"/>
        <v>1.200000000000017e-002</v>
      </c>
      <c r="O233" s="4">
        <f t="shared" si="68"/>
        <v>69.894000000000162</v>
      </c>
      <c r="P233">
        <f t="shared" si="69"/>
        <v>62.128000000000128</v>
      </c>
      <c r="Q233">
        <f t="shared" si="70"/>
        <v>54.362000000000059</v>
      </c>
      <c r="R233">
        <f t="shared" si="71"/>
        <v>46.596000000000082</v>
      </c>
    </row>
    <row r="234" ht="14.25">
      <c r="A234">
        <v>1468659</v>
      </c>
      <c r="B234">
        <v>2</v>
      </c>
      <c r="C234">
        <v>78.530000000000001</v>
      </c>
      <c r="D234">
        <v>80</v>
      </c>
      <c r="E234">
        <v>37.5</v>
      </c>
      <c r="F234">
        <f t="shared" si="60"/>
        <v>24.5</v>
      </c>
      <c r="G234">
        <f t="shared" si="61"/>
        <v>50.299999999999997</v>
      </c>
      <c r="H234">
        <v>37.5</v>
      </c>
      <c r="I234">
        <f t="shared" si="62"/>
        <v>22.100000000000001</v>
      </c>
      <c r="J234">
        <f t="shared" si="63"/>
        <v>0</v>
      </c>
      <c r="K234">
        <f t="shared" si="64"/>
        <v>0</v>
      </c>
      <c r="L234">
        <f t="shared" si="65"/>
        <v>0</v>
      </c>
      <c r="M234">
        <f t="shared" si="66"/>
        <v>0</v>
      </c>
      <c r="N234">
        <f t="shared" si="67"/>
        <v>0</v>
      </c>
      <c r="O234" s="4">
        <f t="shared" si="68"/>
        <v>69.912000000000162</v>
      </c>
      <c r="P234">
        <f t="shared" si="69"/>
        <v>62.144000000000126</v>
      </c>
      <c r="Q234">
        <f t="shared" si="70"/>
        <v>54.376000000000062</v>
      </c>
      <c r="R234">
        <f t="shared" si="71"/>
        <v>46.608000000000082</v>
      </c>
    </row>
    <row r="235" ht="14.25">
      <c r="A235">
        <v>1474962</v>
      </c>
      <c r="B235">
        <v>2.6699999999999999</v>
      </c>
      <c r="C235">
        <v>78.560000000000002</v>
      </c>
      <c r="D235">
        <v>81</v>
      </c>
      <c r="E235">
        <v>37.399999999999999</v>
      </c>
      <c r="F235">
        <f t="shared" si="60"/>
        <v>24.600000000000001</v>
      </c>
      <c r="G235">
        <f t="shared" si="61"/>
        <v>50.899999999999999</v>
      </c>
      <c r="H235">
        <v>37.5</v>
      </c>
      <c r="I235">
        <f t="shared" si="62"/>
        <v>22.399999999999999</v>
      </c>
      <c r="J235">
        <f t="shared" si="63"/>
        <v>0.10000000000000142</v>
      </c>
      <c r="K235">
        <f t="shared" si="64"/>
        <v>1.8000000000000255e-002</v>
      </c>
      <c r="L235">
        <f t="shared" si="65"/>
        <v>1.6000000000000229e-002</v>
      </c>
      <c r="M235">
        <f t="shared" si="66"/>
        <v>1.40000000000002e-002</v>
      </c>
      <c r="N235">
        <f t="shared" si="67"/>
        <v>1.200000000000017e-002</v>
      </c>
      <c r="O235" s="4">
        <f t="shared" si="68"/>
        <v>69.912000000000162</v>
      </c>
      <c r="P235">
        <f t="shared" si="69"/>
        <v>62.144000000000126</v>
      </c>
      <c r="Q235">
        <f t="shared" si="70"/>
        <v>54.376000000000062</v>
      </c>
      <c r="R235">
        <f t="shared" si="71"/>
        <v>46.608000000000082</v>
      </c>
    </row>
    <row r="236" ht="14.25">
      <c r="A236">
        <v>1481266</v>
      </c>
      <c r="B236">
        <v>2</v>
      </c>
      <c r="C236">
        <v>78.579999999999998</v>
      </c>
      <c r="D236">
        <v>80</v>
      </c>
      <c r="E236">
        <v>37.299999999999997</v>
      </c>
      <c r="F236">
        <f t="shared" si="60"/>
        <v>24.699999999999999</v>
      </c>
      <c r="G236">
        <f t="shared" si="61"/>
        <v>50.299999999999997</v>
      </c>
      <c r="H236">
        <v>37.5</v>
      </c>
      <c r="I236">
        <f t="shared" si="62"/>
        <v>22.100000000000001</v>
      </c>
      <c r="J236">
        <f t="shared" si="63"/>
        <v>0.20000000000000284</v>
      </c>
      <c r="K236">
        <f t="shared" si="64"/>
        <v>3.6000000000000511e-002</v>
      </c>
      <c r="L236">
        <f t="shared" si="65"/>
        <v>3.2000000000000459e-002</v>
      </c>
      <c r="M236">
        <f t="shared" si="66"/>
        <v>2.80000000000004e-002</v>
      </c>
      <c r="N236">
        <f t="shared" si="67"/>
        <v>2.4000000000000341e-002</v>
      </c>
      <c r="O236" s="4">
        <f t="shared" si="68"/>
        <v>69.930000000000163</v>
      </c>
      <c r="P236">
        <f t="shared" si="69"/>
        <v>62.160000000000124</v>
      </c>
      <c r="Q236">
        <f t="shared" si="70"/>
        <v>54.390000000000065</v>
      </c>
      <c r="R236">
        <f t="shared" si="71"/>
        <v>46.620000000000083</v>
      </c>
    </row>
    <row r="237" ht="14.25">
      <c r="A237">
        <v>1487568</v>
      </c>
      <c r="B237">
        <v>2</v>
      </c>
      <c r="C237">
        <v>78.599999999999994</v>
      </c>
      <c r="D237">
        <v>80</v>
      </c>
      <c r="E237">
        <v>37.399999999999999</v>
      </c>
      <c r="F237">
        <f t="shared" si="60"/>
        <v>24.800000000000001</v>
      </c>
      <c r="G237">
        <f t="shared" si="61"/>
        <v>50.299999999999997</v>
      </c>
      <c r="H237">
        <v>37.5</v>
      </c>
      <c r="I237">
        <f t="shared" si="62"/>
        <v>22.100000000000001</v>
      </c>
      <c r="J237">
        <f t="shared" si="63"/>
        <v>0.10000000000000142</v>
      </c>
      <c r="K237">
        <f t="shared" si="64"/>
        <v>1.8000000000000255e-002</v>
      </c>
      <c r="L237">
        <f t="shared" si="65"/>
        <v>1.6000000000000229e-002</v>
      </c>
      <c r="M237">
        <f t="shared" si="66"/>
        <v>1.40000000000002e-002</v>
      </c>
      <c r="N237">
        <f t="shared" si="67"/>
        <v>1.200000000000017e-002</v>
      </c>
      <c r="O237" s="4">
        <f t="shared" si="68"/>
        <v>69.966000000000165</v>
      </c>
      <c r="P237">
        <f t="shared" si="69"/>
        <v>62.192000000000128</v>
      </c>
      <c r="Q237">
        <f t="shared" si="70"/>
        <v>54.418000000000063</v>
      </c>
      <c r="R237">
        <f t="shared" si="71"/>
        <v>46.644000000000084</v>
      </c>
    </row>
    <row r="238" ht="14.25">
      <c r="A238">
        <v>1493871</v>
      </c>
      <c r="B238">
        <v>-1.3300000000000001</v>
      </c>
      <c r="C238">
        <v>78.590000000000003</v>
      </c>
      <c r="D238">
        <v>77</v>
      </c>
      <c r="E238">
        <v>37.700000000000003</v>
      </c>
      <c r="F238">
        <f t="shared" si="60"/>
        <v>24.899999999999999</v>
      </c>
      <c r="G238">
        <f t="shared" si="61"/>
        <v>48.399999999999999</v>
      </c>
      <c r="H238">
        <v>37.5</v>
      </c>
      <c r="I238">
        <f t="shared" si="62"/>
        <v>21.300000000000001</v>
      </c>
      <c r="J238">
        <f t="shared" si="63"/>
        <v>-0.20000000000000284</v>
      </c>
      <c r="K238">
        <f t="shared" si="64"/>
        <v>-3.6000000000000511e-002</v>
      </c>
      <c r="L238">
        <f t="shared" si="65"/>
        <v>-3.2000000000000459e-002</v>
      </c>
      <c r="M238">
        <f t="shared" si="66"/>
        <v>-2.80000000000004e-002</v>
      </c>
      <c r="N238">
        <f t="shared" si="67"/>
        <v>-2.4000000000000341e-002</v>
      </c>
      <c r="O238" s="4">
        <f t="shared" si="68"/>
        <v>69.984000000000165</v>
      </c>
      <c r="P238">
        <f t="shared" si="69"/>
        <v>62.208000000000126</v>
      </c>
      <c r="Q238">
        <f t="shared" si="70"/>
        <v>54.432000000000066</v>
      </c>
      <c r="R238">
        <f t="shared" si="71"/>
        <v>46.656000000000084</v>
      </c>
    </row>
    <row r="239" ht="14.25">
      <c r="A239">
        <v>1500174</v>
      </c>
      <c r="B239">
        <v>0</v>
      </c>
      <c r="C239">
        <v>78.590000000000003</v>
      </c>
      <c r="D239">
        <v>78</v>
      </c>
      <c r="E239">
        <v>37.5</v>
      </c>
      <c r="F239">
        <f t="shared" si="60"/>
        <v>25</v>
      </c>
      <c r="G239">
        <f t="shared" si="61"/>
        <v>49.100000000000001</v>
      </c>
      <c r="H239">
        <v>37.5</v>
      </c>
      <c r="I239">
        <f t="shared" si="62"/>
        <v>21.600000000000001</v>
      </c>
      <c r="J239">
        <f t="shared" si="63"/>
        <v>0</v>
      </c>
      <c r="K239">
        <f t="shared" si="64"/>
        <v>0</v>
      </c>
      <c r="L239">
        <f t="shared" si="65"/>
        <v>0</v>
      </c>
      <c r="M239">
        <f t="shared" si="66"/>
        <v>0</v>
      </c>
      <c r="N239">
        <f t="shared" si="67"/>
        <v>0</v>
      </c>
      <c r="O239" s="4">
        <f t="shared" si="68"/>
        <v>69.948000000000164</v>
      </c>
      <c r="P239">
        <f t="shared" si="69"/>
        <v>62.176000000000123</v>
      </c>
      <c r="Q239">
        <f t="shared" si="70"/>
        <v>54.404000000000067</v>
      </c>
      <c r="R239">
        <f t="shared" si="71"/>
        <v>46.632000000000083</v>
      </c>
    </row>
    <row r="240" ht="14.25">
      <c r="A240">
        <v>1506478</v>
      </c>
      <c r="B240">
        <v>0</v>
      </c>
      <c r="C240">
        <v>78.590000000000003</v>
      </c>
      <c r="D240">
        <v>78</v>
      </c>
      <c r="E240">
        <v>37.5</v>
      </c>
      <c r="F240">
        <f t="shared" si="60"/>
        <v>25.100000000000001</v>
      </c>
      <c r="G240">
        <f t="shared" si="61"/>
        <v>49.100000000000001</v>
      </c>
      <c r="H240">
        <v>37.5</v>
      </c>
      <c r="I240">
        <f t="shared" si="62"/>
        <v>21.600000000000001</v>
      </c>
      <c r="J240">
        <f t="shared" si="63"/>
        <v>0</v>
      </c>
      <c r="K240">
        <f t="shared" si="64"/>
        <v>0</v>
      </c>
      <c r="L240">
        <f t="shared" si="65"/>
        <v>0</v>
      </c>
      <c r="M240">
        <f t="shared" si="66"/>
        <v>0</v>
      </c>
      <c r="N240">
        <f t="shared" si="67"/>
        <v>0</v>
      </c>
      <c r="O240" s="4">
        <f t="shared" si="68"/>
        <v>69.948000000000164</v>
      </c>
      <c r="P240">
        <f t="shared" si="69"/>
        <v>62.176000000000123</v>
      </c>
      <c r="Q240">
        <f t="shared" si="70"/>
        <v>54.404000000000067</v>
      </c>
      <c r="R240">
        <f t="shared" si="71"/>
        <v>46.632000000000083</v>
      </c>
    </row>
    <row r="241" ht="14.25">
      <c r="A241">
        <v>1512780</v>
      </c>
      <c r="B241">
        <v>0.67000000000000004</v>
      </c>
      <c r="C241">
        <v>78.590000000000003</v>
      </c>
      <c r="D241">
        <v>79</v>
      </c>
      <c r="E241">
        <v>37.399999999999999</v>
      </c>
      <c r="F241">
        <f t="shared" si="60"/>
        <v>25.199999999999999</v>
      </c>
      <c r="G241">
        <f t="shared" si="61"/>
        <v>49.700000000000003</v>
      </c>
      <c r="H241">
        <v>37.5</v>
      </c>
      <c r="I241">
        <f t="shared" si="62"/>
        <v>21.899999999999999</v>
      </c>
      <c r="J241">
        <f t="shared" si="63"/>
        <v>0.10000000000000142</v>
      </c>
      <c r="K241">
        <f t="shared" si="64"/>
        <v>1.8000000000000255e-002</v>
      </c>
      <c r="L241">
        <f t="shared" si="65"/>
        <v>1.6000000000000229e-002</v>
      </c>
      <c r="M241">
        <f t="shared" si="66"/>
        <v>1.40000000000002e-002</v>
      </c>
      <c r="N241">
        <f t="shared" si="67"/>
        <v>1.200000000000017e-002</v>
      </c>
      <c r="O241" s="4">
        <f t="shared" si="68"/>
        <v>69.948000000000164</v>
      </c>
      <c r="P241">
        <f t="shared" si="69"/>
        <v>62.176000000000123</v>
      </c>
      <c r="Q241">
        <f t="shared" si="70"/>
        <v>54.404000000000067</v>
      </c>
      <c r="R241">
        <f t="shared" si="71"/>
        <v>46.632000000000083</v>
      </c>
    </row>
    <row r="242" ht="14.25">
      <c r="A242">
        <v>1519083</v>
      </c>
      <c r="B242">
        <v>0</v>
      </c>
      <c r="C242">
        <v>78.590000000000003</v>
      </c>
      <c r="D242">
        <v>78</v>
      </c>
      <c r="E242">
        <v>37.600000000000001</v>
      </c>
      <c r="F242">
        <f t="shared" si="60"/>
        <v>25.300000000000001</v>
      </c>
      <c r="G242">
        <f t="shared" si="61"/>
        <v>49.100000000000001</v>
      </c>
      <c r="H242">
        <v>37.5</v>
      </c>
      <c r="I242">
        <f t="shared" si="62"/>
        <v>21.600000000000001</v>
      </c>
      <c r="J242">
        <f t="shared" si="63"/>
        <v>-0.10000000000000142</v>
      </c>
      <c r="K242">
        <f t="shared" si="64"/>
        <v>-1.8000000000000255e-002</v>
      </c>
      <c r="L242">
        <f t="shared" si="65"/>
        <v>-1.6000000000000229e-002</v>
      </c>
      <c r="M242">
        <f t="shared" si="66"/>
        <v>-1.40000000000002e-002</v>
      </c>
      <c r="N242">
        <f t="shared" si="67"/>
        <v>-1.200000000000017e-002</v>
      </c>
      <c r="O242" s="4">
        <f t="shared" si="68"/>
        <v>69.966000000000165</v>
      </c>
      <c r="P242">
        <f t="shared" si="69"/>
        <v>62.192000000000121</v>
      </c>
      <c r="Q242">
        <f t="shared" si="70"/>
        <v>54.41800000000007</v>
      </c>
      <c r="R242">
        <f t="shared" si="71"/>
        <v>46.644000000000084</v>
      </c>
    </row>
    <row r="243" ht="14.25">
      <c r="A243">
        <v>1525386</v>
      </c>
      <c r="B243">
        <v>-0.67000000000000004</v>
      </c>
      <c r="C243">
        <v>78.590000000000003</v>
      </c>
      <c r="D243">
        <v>77</v>
      </c>
      <c r="E243">
        <v>37.600000000000001</v>
      </c>
      <c r="F243">
        <f t="shared" si="60"/>
        <v>25.399999999999999</v>
      </c>
      <c r="G243">
        <f t="shared" si="61"/>
        <v>48.399999999999999</v>
      </c>
      <c r="H243">
        <v>37.5</v>
      </c>
      <c r="I243">
        <f t="shared" si="62"/>
        <v>21.300000000000001</v>
      </c>
      <c r="J243">
        <f t="shared" si="63"/>
        <v>-0.10000000000000142</v>
      </c>
      <c r="K243">
        <f t="shared" si="64"/>
        <v>-1.8000000000000255e-002</v>
      </c>
      <c r="L243">
        <f t="shared" si="65"/>
        <v>-1.6000000000000229e-002</v>
      </c>
      <c r="M243">
        <f t="shared" si="66"/>
        <v>-1.40000000000002e-002</v>
      </c>
      <c r="N243">
        <f t="shared" si="67"/>
        <v>-1.200000000000017e-002</v>
      </c>
      <c r="O243" s="4">
        <f t="shared" si="68"/>
        <v>69.948000000000164</v>
      </c>
      <c r="P243">
        <f t="shared" si="69"/>
        <v>62.176000000000123</v>
      </c>
      <c r="Q243">
        <f t="shared" si="70"/>
        <v>54.404000000000067</v>
      </c>
      <c r="R243">
        <f t="shared" si="71"/>
        <v>46.632000000000083</v>
      </c>
    </row>
    <row r="244" ht="14.25">
      <c r="A244">
        <v>1531689</v>
      </c>
      <c r="B244">
        <v>-1.3300000000000001</v>
      </c>
      <c r="C244">
        <v>78.569999999999993</v>
      </c>
      <c r="D244">
        <v>77</v>
      </c>
      <c r="E244">
        <v>37.700000000000003</v>
      </c>
      <c r="F244">
        <f t="shared" si="60"/>
        <v>25.5</v>
      </c>
      <c r="G244">
        <f t="shared" si="61"/>
        <v>48.399999999999999</v>
      </c>
      <c r="H244">
        <v>37.5</v>
      </c>
      <c r="I244">
        <f t="shared" si="62"/>
        <v>21.300000000000001</v>
      </c>
      <c r="J244">
        <f t="shared" si="63"/>
        <v>-0.20000000000000284</v>
      </c>
      <c r="K244">
        <f t="shared" si="64"/>
        <v>-3.6000000000000511e-002</v>
      </c>
      <c r="L244">
        <f t="shared" si="65"/>
        <v>-3.2000000000000459e-002</v>
      </c>
      <c r="M244">
        <f t="shared" si="66"/>
        <v>-2.80000000000004e-002</v>
      </c>
      <c r="N244">
        <f t="shared" si="67"/>
        <v>-2.4000000000000341e-002</v>
      </c>
      <c r="O244" s="4">
        <f t="shared" si="68"/>
        <v>69.930000000000163</v>
      </c>
      <c r="P244">
        <f t="shared" si="69"/>
        <v>62.160000000000124</v>
      </c>
      <c r="Q244">
        <f t="shared" si="70"/>
        <v>54.390000000000065</v>
      </c>
      <c r="R244">
        <f t="shared" si="71"/>
        <v>46.620000000000083</v>
      </c>
    </row>
    <row r="245" ht="14.25">
      <c r="A245">
        <v>1537993</v>
      </c>
      <c r="B245">
        <v>0.67000000000000004</v>
      </c>
      <c r="C245">
        <v>78.579999999999998</v>
      </c>
      <c r="D245">
        <v>79</v>
      </c>
      <c r="E245">
        <v>37.399999999999999</v>
      </c>
      <c r="F245">
        <f t="shared" si="60"/>
        <v>25.600000000000001</v>
      </c>
      <c r="G245">
        <f t="shared" si="61"/>
        <v>49.700000000000003</v>
      </c>
      <c r="H245">
        <v>37.5</v>
      </c>
      <c r="I245">
        <f t="shared" si="62"/>
        <v>21.899999999999999</v>
      </c>
      <c r="J245">
        <f t="shared" si="63"/>
        <v>0.10000000000000142</v>
      </c>
      <c r="K245">
        <f t="shared" si="64"/>
        <v>1.8000000000000255e-002</v>
      </c>
      <c r="L245">
        <f t="shared" si="65"/>
        <v>1.6000000000000229e-002</v>
      </c>
      <c r="M245">
        <f t="shared" si="66"/>
        <v>1.40000000000002e-002</v>
      </c>
      <c r="N245">
        <f t="shared" si="67"/>
        <v>1.200000000000017e-002</v>
      </c>
      <c r="O245" s="4">
        <f t="shared" si="68"/>
        <v>69.894000000000162</v>
      </c>
      <c r="P245">
        <f t="shared" si="69"/>
        <v>62.128000000000121</v>
      </c>
      <c r="Q245">
        <f t="shared" si="70"/>
        <v>54.362000000000066</v>
      </c>
      <c r="R245">
        <f t="shared" si="71"/>
        <v>46.596000000000082</v>
      </c>
    </row>
    <row r="246" ht="14.25">
      <c r="A246">
        <v>1544297</v>
      </c>
      <c r="B246">
        <v>-2</v>
      </c>
      <c r="C246">
        <v>78.560000000000002</v>
      </c>
      <c r="D246">
        <v>76</v>
      </c>
      <c r="E246">
        <v>37.700000000000003</v>
      </c>
      <c r="F246">
        <f t="shared" si="60"/>
        <v>25.699999999999999</v>
      </c>
      <c r="G246">
        <f t="shared" si="61"/>
        <v>47.799999999999997</v>
      </c>
      <c r="H246">
        <v>37.5</v>
      </c>
      <c r="I246">
        <f t="shared" si="62"/>
        <v>21</v>
      </c>
      <c r="J246">
        <f t="shared" si="63"/>
        <v>-0.20000000000000284</v>
      </c>
      <c r="K246">
        <f t="shared" si="64"/>
        <v>-3.6000000000000511e-002</v>
      </c>
      <c r="L246">
        <f t="shared" si="65"/>
        <v>-3.2000000000000459e-002</v>
      </c>
      <c r="M246">
        <f t="shared" si="66"/>
        <v>-2.80000000000004e-002</v>
      </c>
      <c r="N246">
        <f t="shared" si="67"/>
        <v>-2.4000000000000341e-002</v>
      </c>
      <c r="O246" s="4">
        <f t="shared" si="68"/>
        <v>69.912000000000162</v>
      </c>
      <c r="P246">
        <f t="shared" si="69"/>
        <v>62.144000000000119</v>
      </c>
      <c r="Q246">
        <f t="shared" si="70"/>
        <v>54.376000000000069</v>
      </c>
      <c r="R246">
        <f t="shared" si="71"/>
        <v>46.608000000000082</v>
      </c>
    </row>
    <row r="247" ht="14.25">
      <c r="A247">
        <v>1550601</v>
      </c>
      <c r="B247">
        <v>0</v>
      </c>
      <c r="C247">
        <v>78.560000000000002</v>
      </c>
      <c r="D247">
        <v>78</v>
      </c>
      <c r="E247">
        <v>37.5</v>
      </c>
      <c r="F247">
        <f t="shared" si="60"/>
        <v>25.800000000000001</v>
      </c>
      <c r="G247">
        <f t="shared" si="61"/>
        <v>49.100000000000001</v>
      </c>
      <c r="H247">
        <v>37.5</v>
      </c>
      <c r="I247">
        <f t="shared" si="62"/>
        <v>21.600000000000001</v>
      </c>
      <c r="J247">
        <f t="shared" si="63"/>
        <v>0</v>
      </c>
      <c r="K247">
        <f t="shared" si="64"/>
        <v>0</v>
      </c>
      <c r="L247">
        <f t="shared" si="65"/>
        <v>0</v>
      </c>
      <c r="M247">
        <f t="shared" si="66"/>
        <v>0</v>
      </c>
      <c r="N247">
        <f t="shared" si="67"/>
        <v>0</v>
      </c>
      <c r="O247" s="4">
        <f t="shared" si="68"/>
        <v>69.876000000000161</v>
      </c>
      <c r="P247">
        <f t="shared" si="69"/>
        <v>62.112000000000116</v>
      </c>
      <c r="Q247">
        <f t="shared" si="70"/>
        <v>54.34800000000007</v>
      </c>
      <c r="R247">
        <f t="shared" si="71"/>
        <v>46.584000000000081</v>
      </c>
    </row>
    <row r="248" ht="14.25">
      <c r="A248">
        <v>1556904</v>
      </c>
      <c r="B248">
        <v>-0.67000000000000004</v>
      </c>
      <c r="C248">
        <v>78.549999999999997</v>
      </c>
      <c r="D248">
        <v>77</v>
      </c>
      <c r="E248">
        <v>37.700000000000003</v>
      </c>
      <c r="F248">
        <f t="shared" si="60"/>
        <v>25.899999999999999</v>
      </c>
      <c r="G248">
        <f t="shared" si="61"/>
        <v>48.399999999999999</v>
      </c>
      <c r="H248">
        <v>37.5</v>
      </c>
      <c r="I248">
        <f t="shared" si="62"/>
        <v>21.300000000000001</v>
      </c>
      <c r="J248">
        <f t="shared" si="63"/>
        <v>-0.20000000000000284</v>
      </c>
      <c r="K248">
        <f t="shared" si="64"/>
        <v>-3.6000000000000511e-002</v>
      </c>
      <c r="L248">
        <f t="shared" si="65"/>
        <v>-3.2000000000000459e-002</v>
      </c>
      <c r="M248">
        <f t="shared" si="66"/>
        <v>-2.80000000000004e-002</v>
      </c>
      <c r="N248">
        <f t="shared" si="67"/>
        <v>-2.4000000000000341e-002</v>
      </c>
      <c r="O248" s="4">
        <f t="shared" si="68"/>
        <v>69.876000000000161</v>
      </c>
      <c r="P248">
        <f t="shared" si="69"/>
        <v>62.112000000000116</v>
      </c>
      <c r="Q248">
        <f t="shared" si="70"/>
        <v>54.34800000000007</v>
      </c>
      <c r="R248">
        <f t="shared" si="71"/>
        <v>46.584000000000081</v>
      </c>
    </row>
    <row r="249" ht="14.25">
      <c r="A249">
        <v>1563207</v>
      </c>
      <c r="B249">
        <v>-1.3300000000000001</v>
      </c>
      <c r="C249">
        <v>78.540000000000006</v>
      </c>
      <c r="D249">
        <v>77</v>
      </c>
      <c r="E249">
        <v>37.700000000000003</v>
      </c>
      <c r="F249">
        <f t="shared" si="60"/>
        <v>26.100000000000001</v>
      </c>
      <c r="G249">
        <f t="shared" si="61"/>
        <v>48.399999999999999</v>
      </c>
      <c r="H249">
        <v>37.5</v>
      </c>
      <c r="I249">
        <f t="shared" si="62"/>
        <v>21.300000000000001</v>
      </c>
      <c r="J249">
        <f t="shared" si="63"/>
        <v>-0.20000000000000284</v>
      </c>
      <c r="K249">
        <f t="shared" si="64"/>
        <v>-3.6000000000000511e-002</v>
      </c>
      <c r="L249">
        <f t="shared" si="65"/>
        <v>-3.2000000000000459e-002</v>
      </c>
      <c r="M249">
        <f t="shared" si="66"/>
        <v>-2.80000000000004e-002</v>
      </c>
      <c r="N249">
        <f t="shared" si="67"/>
        <v>-2.4000000000000341e-002</v>
      </c>
      <c r="O249" s="4">
        <f t="shared" si="68"/>
        <v>69.84000000000016</v>
      </c>
      <c r="P249">
        <f t="shared" si="69"/>
        <v>62.080000000000112</v>
      </c>
      <c r="Q249">
        <f t="shared" si="70"/>
        <v>54.320000000000071</v>
      </c>
      <c r="R249">
        <f t="shared" si="71"/>
        <v>46.56000000000008</v>
      </c>
    </row>
    <row r="250" ht="14.25">
      <c r="A250">
        <v>1569510</v>
      </c>
      <c r="B250">
        <v>-0.67000000000000004</v>
      </c>
      <c r="C250">
        <v>78.530000000000001</v>
      </c>
      <c r="D250">
        <v>77</v>
      </c>
      <c r="E250">
        <v>37.600000000000001</v>
      </c>
      <c r="F250">
        <f t="shared" si="60"/>
        <v>26.199999999999999</v>
      </c>
      <c r="G250">
        <f t="shared" si="61"/>
        <v>48.399999999999999</v>
      </c>
      <c r="H250">
        <v>37.5</v>
      </c>
      <c r="I250">
        <f t="shared" si="62"/>
        <v>21.300000000000001</v>
      </c>
      <c r="J250">
        <f t="shared" si="63"/>
        <v>-0.10000000000000142</v>
      </c>
      <c r="K250">
        <f t="shared" si="64"/>
        <v>-1.8000000000000255e-002</v>
      </c>
      <c r="L250">
        <f t="shared" si="65"/>
        <v>-1.6000000000000229e-002</v>
      </c>
      <c r="M250">
        <f t="shared" si="66"/>
        <v>-1.40000000000002e-002</v>
      </c>
      <c r="N250">
        <f t="shared" si="67"/>
        <v>-1.200000000000017e-002</v>
      </c>
      <c r="O250" s="4">
        <f t="shared" si="68"/>
        <v>69.804000000000158</v>
      </c>
      <c r="P250">
        <f t="shared" si="69"/>
        <v>62.048000000000108</v>
      </c>
      <c r="Q250">
        <f t="shared" si="70"/>
        <v>54.292000000000073</v>
      </c>
      <c r="R250">
        <f t="shared" si="71"/>
        <v>46.53600000000008</v>
      </c>
    </row>
    <row r="251" ht="14.25">
      <c r="A251">
        <v>1575814</v>
      </c>
      <c r="B251">
        <v>-2</v>
      </c>
      <c r="C251">
        <v>78.510000000000005</v>
      </c>
      <c r="D251">
        <v>76</v>
      </c>
      <c r="E251">
        <v>37.600000000000001</v>
      </c>
      <c r="F251">
        <f t="shared" si="60"/>
        <v>26.300000000000001</v>
      </c>
      <c r="G251">
        <f t="shared" si="61"/>
        <v>47.799999999999997</v>
      </c>
      <c r="H251">
        <v>37.5</v>
      </c>
      <c r="I251">
        <f t="shared" si="62"/>
        <v>21</v>
      </c>
      <c r="J251">
        <f t="shared" si="63"/>
        <v>-0.10000000000000142</v>
      </c>
      <c r="K251">
        <f t="shared" si="64"/>
        <v>-1.8000000000000255e-002</v>
      </c>
      <c r="L251">
        <f t="shared" si="65"/>
        <v>-1.6000000000000229e-002</v>
      </c>
      <c r="M251">
        <f t="shared" si="66"/>
        <v>-1.40000000000002e-002</v>
      </c>
      <c r="N251">
        <f t="shared" si="67"/>
        <v>-1.200000000000017e-002</v>
      </c>
      <c r="O251" s="4">
        <f t="shared" si="68"/>
        <v>69.786000000000158</v>
      </c>
      <c r="P251">
        <f t="shared" si="69"/>
        <v>62.03200000000011</v>
      </c>
      <c r="Q251">
        <f t="shared" si="70"/>
        <v>54.27800000000007</v>
      </c>
      <c r="R251">
        <f t="shared" si="71"/>
        <v>46.524000000000079</v>
      </c>
    </row>
    <row r="252" ht="14.25">
      <c r="A252">
        <v>1582116</v>
      </c>
      <c r="B252">
        <v>-1.3300000000000001</v>
      </c>
      <c r="C252">
        <v>78.5</v>
      </c>
      <c r="D252">
        <v>77</v>
      </c>
      <c r="E252">
        <v>37.399999999999999</v>
      </c>
      <c r="F252">
        <f t="shared" si="60"/>
        <v>26.399999999999999</v>
      </c>
      <c r="G252">
        <f t="shared" si="61"/>
        <v>48.399999999999999</v>
      </c>
      <c r="H252">
        <v>37.5</v>
      </c>
      <c r="I252">
        <f t="shared" si="62"/>
        <v>21.300000000000001</v>
      </c>
      <c r="J252">
        <f t="shared" si="63"/>
        <v>0.10000000000000142</v>
      </c>
      <c r="K252">
        <f t="shared" si="64"/>
        <v>1.8000000000000255e-002</v>
      </c>
      <c r="L252">
        <f t="shared" si="65"/>
        <v>1.6000000000000229e-002</v>
      </c>
      <c r="M252">
        <f t="shared" si="66"/>
        <v>1.40000000000002e-002</v>
      </c>
      <c r="N252">
        <f t="shared" si="67"/>
        <v>1.200000000000017e-002</v>
      </c>
      <c r="O252" s="4">
        <f t="shared" si="68"/>
        <v>69.768000000000157</v>
      </c>
      <c r="P252">
        <f t="shared" si="69"/>
        <v>62.016000000000112</v>
      </c>
      <c r="Q252">
        <f t="shared" si="70"/>
        <v>54.264000000000067</v>
      </c>
      <c r="R252">
        <f t="shared" si="71"/>
        <v>46.512000000000079</v>
      </c>
    </row>
    <row r="253" ht="14.25">
      <c r="A253">
        <v>1588419</v>
      </c>
      <c r="B253">
        <v>0</v>
      </c>
      <c r="C253">
        <v>78.5</v>
      </c>
      <c r="D253">
        <v>78</v>
      </c>
      <c r="E253">
        <v>37.399999999999999</v>
      </c>
      <c r="F253">
        <f t="shared" si="60"/>
        <v>26.5</v>
      </c>
      <c r="G253">
        <f t="shared" si="61"/>
        <v>49.100000000000001</v>
      </c>
      <c r="H253">
        <v>37.5</v>
      </c>
      <c r="I253">
        <f t="shared" si="62"/>
        <v>21.600000000000001</v>
      </c>
      <c r="J253">
        <f t="shared" si="63"/>
        <v>0.10000000000000142</v>
      </c>
      <c r="K253">
        <f t="shared" si="64"/>
        <v>1.8000000000000255e-002</v>
      </c>
      <c r="L253">
        <f t="shared" si="65"/>
        <v>1.6000000000000229e-002</v>
      </c>
      <c r="M253">
        <f t="shared" si="66"/>
        <v>1.40000000000002e-002</v>
      </c>
      <c r="N253">
        <f t="shared" si="67"/>
        <v>1.200000000000017e-002</v>
      </c>
      <c r="O253" s="4">
        <f t="shared" si="68"/>
        <v>69.786000000000158</v>
      </c>
      <c r="P253">
        <f t="shared" si="69"/>
        <v>62.03200000000011</v>
      </c>
      <c r="Q253">
        <f t="shared" si="70"/>
        <v>54.27800000000007</v>
      </c>
      <c r="R253">
        <f t="shared" si="71"/>
        <v>46.524000000000079</v>
      </c>
    </row>
    <row r="254" ht="14.25">
      <c r="A254">
        <v>1594722</v>
      </c>
      <c r="B254">
        <v>0.67000000000000004</v>
      </c>
      <c r="C254">
        <v>78.510000000000005</v>
      </c>
      <c r="D254">
        <v>79</v>
      </c>
      <c r="E254">
        <v>37.399999999999999</v>
      </c>
      <c r="F254">
        <f t="shared" si="60"/>
        <v>26.600000000000001</v>
      </c>
      <c r="G254">
        <f t="shared" si="61"/>
        <v>49.700000000000003</v>
      </c>
      <c r="H254">
        <v>37.5</v>
      </c>
      <c r="I254">
        <f t="shared" si="62"/>
        <v>21.899999999999999</v>
      </c>
      <c r="J254">
        <f t="shared" si="63"/>
        <v>0.10000000000000142</v>
      </c>
      <c r="K254">
        <f t="shared" si="64"/>
        <v>1.8000000000000255e-002</v>
      </c>
      <c r="L254">
        <f t="shared" si="65"/>
        <v>1.6000000000000229e-002</v>
      </c>
      <c r="M254">
        <f t="shared" si="66"/>
        <v>1.40000000000002e-002</v>
      </c>
      <c r="N254">
        <f t="shared" si="67"/>
        <v>1.200000000000017e-002</v>
      </c>
      <c r="O254" s="4">
        <f t="shared" si="68"/>
        <v>69.804000000000158</v>
      </c>
      <c r="P254">
        <f t="shared" si="69"/>
        <v>62.048000000000108</v>
      </c>
      <c r="Q254">
        <f t="shared" si="70"/>
        <v>54.292000000000073</v>
      </c>
      <c r="R254">
        <f t="shared" si="71"/>
        <v>46.53600000000008</v>
      </c>
    </row>
    <row r="255" ht="14.25">
      <c r="A255">
        <v>1601025</v>
      </c>
      <c r="B255">
        <v>2.6699999999999999</v>
      </c>
      <c r="C255">
        <v>78.530000000000001</v>
      </c>
      <c r="D255">
        <v>81</v>
      </c>
      <c r="E255">
        <v>37.600000000000001</v>
      </c>
      <c r="F255">
        <f t="shared" si="60"/>
        <v>26.699999999999999</v>
      </c>
      <c r="G255">
        <f t="shared" si="61"/>
        <v>50.899999999999999</v>
      </c>
      <c r="H255">
        <v>37.5</v>
      </c>
      <c r="I255">
        <f t="shared" si="62"/>
        <v>22.399999999999999</v>
      </c>
      <c r="J255">
        <f t="shared" si="63"/>
        <v>-0.10000000000000142</v>
      </c>
      <c r="K255">
        <f t="shared" si="64"/>
        <v>-1.8000000000000255e-002</v>
      </c>
      <c r="L255">
        <f t="shared" si="65"/>
        <v>-1.6000000000000229e-002</v>
      </c>
      <c r="M255">
        <f t="shared" si="66"/>
        <v>-1.40000000000002e-002</v>
      </c>
      <c r="N255">
        <f t="shared" si="67"/>
        <v>-1.200000000000017e-002</v>
      </c>
      <c r="O255" s="4">
        <f t="shared" si="68"/>
        <v>69.822000000000159</v>
      </c>
      <c r="P255">
        <f t="shared" si="69"/>
        <v>62.064000000000107</v>
      </c>
      <c r="Q255">
        <f t="shared" si="70"/>
        <v>54.306000000000076</v>
      </c>
      <c r="R255">
        <f t="shared" si="71"/>
        <v>46.54800000000008</v>
      </c>
    </row>
    <row r="256" ht="14.25">
      <c r="A256">
        <v>1607327</v>
      </c>
      <c r="B256">
        <v>-3.3300000000000001</v>
      </c>
      <c r="C256">
        <v>78.5</v>
      </c>
      <c r="D256">
        <v>75</v>
      </c>
      <c r="E256">
        <v>37.600000000000001</v>
      </c>
      <c r="F256">
        <f t="shared" si="60"/>
        <v>26.800000000000001</v>
      </c>
      <c r="G256">
        <f t="shared" si="61"/>
        <v>47.200000000000003</v>
      </c>
      <c r="H256">
        <v>37.5</v>
      </c>
      <c r="I256">
        <f t="shared" si="62"/>
        <v>20.800000000000001</v>
      </c>
      <c r="J256">
        <f t="shared" si="63"/>
        <v>-0.10000000000000142</v>
      </c>
      <c r="K256">
        <f t="shared" si="64"/>
        <v>-1.8000000000000255e-002</v>
      </c>
      <c r="L256">
        <f t="shared" si="65"/>
        <v>-1.6000000000000229e-002</v>
      </c>
      <c r="M256">
        <f t="shared" si="66"/>
        <v>-1.40000000000002e-002</v>
      </c>
      <c r="N256">
        <f t="shared" si="67"/>
        <v>-1.200000000000017e-002</v>
      </c>
      <c r="O256" s="4">
        <f t="shared" si="68"/>
        <v>69.804000000000158</v>
      </c>
      <c r="P256">
        <f t="shared" si="69"/>
        <v>62.048000000000108</v>
      </c>
      <c r="Q256">
        <f t="shared" si="70"/>
        <v>54.292000000000073</v>
      </c>
      <c r="R256">
        <f t="shared" si="71"/>
        <v>46.53600000000008</v>
      </c>
    </row>
    <row r="257" ht="14.25">
      <c r="A257">
        <v>1613631</v>
      </c>
      <c r="B257">
        <v>-3.3300000000000001</v>
      </c>
      <c r="C257">
        <v>78.469999999999999</v>
      </c>
      <c r="D257">
        <v>75</v>
      </c>
      <c r="E257">
        <v>38</v>
      </c>
      <c r="F257">
        <f t="shared" si="60"/>
        <v>26.899999999999999</v>
      </c>
      <c r="G257">
        <f t="shared" si="61"/>
        <v>47.200000000000003</v>
      </c>
      <c r="H257">
        <v>37.5</v>
      </c>
      <c r="I257">
        <f t="shared" si="62"/>
        <v>20.800000000000001</v>
      </c>
      <c r="J257">
        <f t="shared" si="63"/>
        <v>-0.5</v>
      </c>
      <c r="K257">
        <f t="shared" si="64"/>
        <v>-8.9999999999999997e-002</v>
      </c>
      <c r="L257">
        <f t="shared" si="65"/>
        <v>-8.0000000000000002e-002</v>
      </c>
      <c r="M257">
        <f t="shared" si="66"/>
        <v>-7.0000000000000007e-002</v>
      </c>
      <c r="N257">
        <f t="shared" si="67"/>
        <v>-5.9999999999999998e-002</v>
      </c>
      <c r="O257" s="4">
        <f t="shared" si="68"/>
        <v>69.786000000000158</v>
      </c>
      <c r="P257">
        <f t="shared" si="69"/>
        <v>62.03200000000011</v>
      </c>
      <c r="Q257">
        <f t="shared" si="70"/>
        <v>54.27800000000007</v>
      </c>
      <c r="R257">
        <f t="shared" si="71"/>
        <v>46.524000000000079</v>
      </c>
    </row>
    <row r="258" ht="14.25">
      <c r="A258">
        <v>1619934</v>
      </c>
      <c r="B258">
        <v>-4</v>
      </c>
      <c r="C258">
        <v>78.430000000000007</v>
      </c>
      <c r="D258">
        <v>74</v>
      </c>
      <c r="E258">
        <v>37.600000000000001</v>
      </c>
      <c r="F258">
        <f t="shared" si="60"/>
        <v>27</v>
      </c>
      <c r="G258">
        <f t="shared" si="61"/>
        <v>46.5</v>
      </c>
      <c r="H258">
        <v>37.5</v>
      </c>
      <c r="I258">
        <f t="shared" si="62"/>
        <v>20.5</v>
      </c>
      <c r="J258">
        <f t="shared" si="63"/>
        <v>-0.10000000000000142</v>
      </c>
      <c r="K258">
        <f t="shared" si="64"/>
        <v>-1.8000000000000255e-002</v>
      </c>
      <c r="L258">
        <f t="shared" si="65"/>
        <v>-1.6000000000000229e-002</v>
      </c>
      <c r="M258">
        <f t="shared" si="66"/>
        <v>-1.40000000000002e-002</v>
      </c>
      <c r="N258">
        <f t="shared" si="67"/>
        <v>-1.200000000000017e-002</v>
      </c>
      <c r="O258" s="4">
        <f t="shared" si="68"/>
        <v>69.696000000000154</v>
      </c>
      <c r="P258">
        <f t="shared" si="69"/>
        <v>61.952000000000112</v>
      </c>
      <c r="Q258">
        <f t="shared" si="70"/>
        <v>54.208000000000069</v>
      </c>
      <c r="R258">
        <f t="shared" si="71"/>
        <v>46.464000000000077</v>
      </c>
    </row>
    <row r="259" ht="14.25">
      <c r="A259">
        <v>1626238</v>
      </c>
      <c r="B259">
        <v>-2</v>
      </c>
      <c r="C259">
        <v>78.409999999999997</v>
      </c>
      <c r="D259">
        <v>76</v>
      </c>
      <c r="E259">
        <v>37.5</v>
      </c>
      <c r="F259">
        <f t="shared" si="60"/>
        <v>27.100000000000001</v>
      </c>
      <c r="G259">
        <f t="shared" si="61"/>
        <v>47.799999999999997</v>
      </c>
      <c r="H259">
        <v>37.5</v>
      </c>
      <c r="I259">
        <f t="shared" si="62"/>
        <v>21</v>
      </c>
      <c r="J259">
        <f t="shared" si="63"/>
        <v>0</v>
      </c>
      <c r="K259">
        <f t="shared" si="64"/>
        <v>0</v>
      </c>
      <c r="L259">
        <f t="shared" si="65"/>
        <v>0</v>
      </c>
      <c r="M259">
        <f t="shared" si="66"/>
        <v>0</v>
      </c>
      <c r="N259">
        <f t="shared" si="67"/>
        <v>0</v>
      </c>
      <c r="O259" s="4">
        <f t="shared" si="68"/>
        <v>69.678000000000154</v>
      </c>
      <c r="P259">
        <f t="shared" si="69"/>
        <v>61.936000000000114</v>
      </c>
      <c r="Q259">
        <f t="shared" si="70"/>
        <v>54.194000000000067</v>
      </c>
      <c r="R259">
        <f t="shared" si="71"/>
        <v>46.452000000000076</v>
      </c>
    </row>
    <row r="260" ht="14.25">
      <c r="A260">
        <v>1632541</v>
      </c>
      <c r="B260">
        <v>0</v>
      </c>
      <c r="C260">
        <v>78.409999999999997</v>
      </c>
      <c r="D260">
        <v>78</v>
      </c>
      <c r="E260">
        <v>37.600000000000001</v>
      </c>
      <c r="F260">
        <f t="shared" si="60"/>
        <v>27.199999999999999</v>
      </c>
      <c r="G260">
        <f t="shared" si="61"/>
        <v>49.100000000000001</v>
      </c>
      <c r="H260">
        <v>37.5</v>
      </c>
      <c r="I260">
        <f t="shared" si="62"/>
        <v>21.600000000000001</v>
      </c>
      <c r="J260">
        <f t="shared" si="63"/>
        <v>-0.10000000000000142</v>
      </c>
      <c r="K260">
        <f t="shared" si="64"/>
        <v>-1.8000000000000255e-002</v>
      </c>
      <c r="L260">
        <f t="shared" si="65"/>
        <v>-1.6000000000000229e-002</v>
      </c>
      <c r="M260">
        <f t="shared" si="66"/>
        <v>-1.40000000000002e-002</v>
      </c>
      <c r="N260">
        <f t="shared" si="67"/>
        <v>-1.200000000000017e-002</v>
      </c>
      <c r="O260" s="4">
        <f t="shared" si="68"/>
        <v>69.678000000000154</v>
      </c>
      <c r="P260">
        <f t="shared" si="69"/>
        <v>61.936000000000114</v>
      </c>
      <c r="Q260">
        <f t="shared" si="70"/>
        <v>54.194000000000067</v>
      </c>
      <c r="R260">
        <f t="shared" si="71"/>
        <v>46.452000000000076</v>
      </c>
    </row>
    <row r="261" ht="14.25">
      <c r="A261">
        <v>1638846</v>
      </c>
      <c r="B261">
        <v>0</v>
      </c>
      <c r="C261">
        <v>78.409999999999997</v>
      </c>
      <c r="D261">
        <v>78</v>
      </c>
      <c r="E261">
        <v>37.5</v>
      </c>
      <c r="F261">
        <f t="shared" si="60"/>
        <v>27.300000000000001</v>
      </c>
      <c r="G261">
        <f t="shared" si="61"/>
        <v>49.100000000000001</v>
      </c>
      <c r="H261">
        <v>37.5</v>
      </c>
      <c r="I261">
        <f t="shared" si="62"/>
        <v>21.600000000000001</v>
      </c>
      <c r="J261">
        <f t="shared" si="63"/>
        <v>0</v>
      </c>
      <c r="K261">
        <f t="shared" si="64"/>
        <v>0</v>
      </c>
      <c r="L261">
        <f t="shared" si="65"/>
        <v>0</v>
      </c>
      <c r="M261">
        <f t="shared" si="66"/>
        <v>0</v>
      </c>
      <c r="N261">
        <f t="shared" si="67"/>
        <v>0</v>
      </c>
      <c r="O261" s="4">
        <f t="shared" si="68"/>
        <v>69.660000000000153</v>
      </c>
      <c r="P261">
        <f t="shared" si="69"/>
        <v>61.920000000000115</v>
      </c>
      <c r="Q261">
        <f t="shared" si="70"/>
        <v>54.180000000000064</v>
      </c>
      <c r="R261">
        <f t="shared" si="71"/>
        <v>46.440000000000076</v>
      </c>
    </row>
    <row r="262" ht="14.25">
      <c r="A262">
        <v>1645150</v>
      </c>
      <c r="B262">
        <v>-1.3300000000000001</v>
      </c>
      <c r="C262">
        <v>78.390000000000001</v>
      </c>
      <c r="D262">
        <v>77</v>
      </c>
      <c r="E262">
        <v>37.5</v>
      </c>
      <c r="F262">
        <f t="shared" si="60"/>
        <v>27.399999999999999</v>
      </c>
      <c r="G262">
        <f t="shared" si="61"/>
        <v>48.399999999999999</v>
      </c>
      <c r="H262">
        <v>37.5</v>
      </c>
      <c r="I262">
        <f t="shared" si="62"/>
        <v>21.300000000000001</v>
      </c>
      <c r="J262">
        <f t="shared" si="63"/>
        <v>0</v>
      </c>
      <c r="K262">
        <f t="shared" si="64"/>
        <v>0</v>
      </c>
      <c r="L262">
        <f t="shared" si="65"/>
        <v>0</v>
      </c>
      <c r="M262">
        <f t="shared" si="66"/>
        <v>0</v>
      </c>
      <c r="N262">
        <f t="shared" si="67"/>
        <v>0</v>
      </c>
      <c r="O262" s="4">
        <f t="shared" si="68"/>
        <v>69.660000000000153</v>
      </c>
      <c r="P262">
        <f t="shared" si="69"/>
        <v>61.920000000000115</v>
      </c>
      <c r="Q262">
        <f t="shared" si="70"/>
        <v>54.180000000000064</v>
      </c>
      <c r="R262">
        <f t="shared" si="71"/>
        <v>46.440000000000076</v>
      </c>
    </row>
    <row r="263" ht="14.25">
      <c r="A263">
        <v>1651452</v>
      </c>
      <c r="B263">
        <v>-4</v>
      </c>
      <c r="C263">
        <v>78.349999999999994</v>
      </c>
      <c r="D263">
        <v>74</v>
      </c>
      <c r="E263">
        <v>37.799999999999997</v>
      </c>
      <c r="F263">
        <f t="shared" si="60"/>
        <v>27.5</v>
      </c>
      <c r="G263">
        <f t="shared" si="61"/>
        <v>46.5</v>
      </c>
      <c r="H263">
        <v>37.5</v>
      </c>
      <c r="I263">
        <f t="shared" si="62"/>
        <v>20.5</v>
      </c>
      <c r="J263">
        <f t="shared" si="63"/>
        <v>-0.29999999999999716</v>
      </c>
      <c r="K263">
        <f t="shared" si="64"/>
        <v>-5.3999999999999486e-002</v>
      </c>
      <c r="L263">
        <f t="shared" si="65"/>
        <v>-4.7999999999999543e-002</v>
      </c>
      <c r="M263">
        <f t="shared" si="66"/>
        <v>-4.1999999999999607e-002</v>
      </c>
      <c r="N263">
        <f t="shared" si="67"/>
        <v>-3.5999999999999657e-002</v>
      </c>
      <c r="O263" s="4">
        <f t="shared" si="68"/>
        <v>69.660000000000153</v>
      </c>
      <c r="P263">
        <f t="shared" si="69"/>
        <v>61.920000000000115</v>
      </c>
      <c r="Q263">
        <f t="shared" si="70"/>
        <v>54.180000000000064</v>
      </c>
      <c r="R263">
        <f t="shared" si="71"/>
        <v>46.440000000000076</v>
      </c>
    </row>
    <row r="264" ht="14.25">
      <c r="A264">
        <v>1657755</v>
      </c>
      <c r="B264">
        <v>-4</v>
      </c>
      <c r="C264">
        <v>78.310000000000002</v>
      </c>
      <c r="D264">
        <v>74</v>
      </c>
      <c r="E264">
        <v>37.700000000000003</v>
      </c>
      <c r="F264">
        <f t="shared" si="60"/>
        <v>27.600000000000001</v>
      </c>
      <c r="G264">
        <f t="shared" si="61"/>
        <v>46.5</v>
      </c>
      <c r="H264">
        <v>37.5</v>
      </c>
      <c r="I264">
        <f t="shared" si="62"/>
        <v>20.5</v>
      </c>
      <c r="J264">
        <f t="shared" si="63"/>
        <v>-0.20000000000000284</v>
      </c>
      <c r="K264">
        <f t="shared" si="64"/>
        <v>-3.6000000000000511e-002</v>
      </c>
      <c r="L264">
        <f t="shared" si="65"/>
        <v>-3.2000000000000459e-002</v>
      </c>
      <c r="M264">
        <f t="shared" si="66"/>
        <v>-2.80000000000004e-002</v>
      </c>
      <c r="N264">
        <f t="shared" si="67"/>
        <v>-2.4000000000000341e-002</v>
      </c>
      <c r="O264" s="4">
        <f t="shared" si="68"/>
        <v>69.606000000000151</v>
      </c>
      <c r="P264">
        <f t="shared" si="69"/>
        <v>61.872000000000114</v>
      </c>
      <c r="Q264">
        <f t="shared" si="70"/>
        <v>54.138000000000062</v>
      </c>
      <c r="R264">
        <f t="shared" si="71"/>
        <v>46.404000000000075</v>
      </c>
    </row>
    <row r="265" ht="14.25">
      <c r="A265">
        <v>1664057</v>
      </c>
      <c r="B265">
        <v>-2</v>
      </c>
      <c r="C265">
        <v>78.290000000000006</v>
      </c>
      <c r="D265">
        <v>76</v>
      </c>
      <c r="E265">
        <v>37.600000000000001</v>
      </c>
      <c r="F265">
        <f t="shared" si="60"/>
        <v>27.699999999999999</v>
      </c>
      <c r="G265">
        <f t="shared" si="61"/>
        <v>47.799999999999997</v>
      </c>
      <c r="H265">
        <v>37.5</v>
      </c>
      <c r="I265">
        <f t="shared" si="62"/>
        <v>21</v>
      </c>
      <c r="J265">
        <f t="shared" si="63"/>
        <v>-0.10000000000000142</v>
      </c>
      <c r="K265">
        <f t="shared" si="64"/>
        <v>-1.8000000000000255e-002</v>
      </c>
      <c r="L265">
        <f t="shared" si="65"/>
        <v>-1.6000000000000229e-002</v>
      </c>
      <c r="M265">
        <f t="shared" si="66"/>
        <v>-1.40000000000002e-002</v>
      </c>
      <c r="N265">
        <f t="shared" si="67"/>
        <v>-1.200000000000017e-002</v>
      </c>
      <c r="O265" s="4">
        <f t="shared" si="68"/>
        <v>69.570000000000149</v>
      </c>
      <c r="P265">
        <f t="shared" si="69"/>
        <v>61.84000000000011</v>
      </c>
      <c r="Q265">
        <f t="shared" si="70"/>
        <v>54.110000000000063</v>
      </c>
      <c r="R265">
        <f t="shared" si="71"/>
        <v>46.380000000000074</v>
      </c>
    </row>
    <row r="266" ht="14.25">
      <c r="A266">
        <v>1670362</v>
      </c>
      <c r="B266">
        <v>-1.3300000000000001</v>
      </c>
      <c r="C266">
        <v>78.280000000000001</v>
      </c>
      <c r="D266">
        <v>76</v>
      </c>
      <c r="E266">
        <v>37.600000000000001</v>
      </c>
      <c r="F266">
        <f t="shared" si="60"/>
        <v>27.800000000000001</v>
      </c>
      <c r="G266">
        <f t="shared" si="61"/>
        <v>47.799999999999997</v>
      </c>
      <c r="H266">
        <v>37.5</v>
      </c>
      <c r="I266">
        <f t="shared" si="62"/>
        <v>21</v>
      </c>
      <c r="J266">
        <f t="shared" si="63"/>
        <v>-0.10000000000000142</v>
      </c>
      <c r="K266">
        <f t="shared" si="64"/>
        <v>-1.8000000000000255e-002</v>
      </c>
      <c r="L266">
        <f t="shared" si="65"/>
        <v>-1.6000000000000229e-002</v>
      </c>
      <c r="M266">
        <f t="shared" si="66"/>
        <v>-1.40000000000002e-002</v>
      </c>
      <c r="N266">
        <f t="shared" si="67"/>
        <v>-1.200000000000017e-002</v>
      </c>
      <c r="O266" s="4">
        <f t="shared" si="68"/>
        <v>69.552000000000149</v>
      </c>
      <c r="P266">
        <f t="shared" si="69"/>
        <v>61.824000000000112</v>
      </c>
      <c r="Q266">
        <f t="shared" si="70"/>
        <v>54.09600000000006</v>
      </c>
      <c r="R266">
        <f t="shared" si="71"/>
        <v>46.368000000000073</v>
      </c>
    </row>
    <row r="267" ht="14.25">
      <c r="A267">
        <v>1676664</v>
      </c>
      <c r="B267">
        <v>-0.67000000000000004</v>
      </c>
      <c r="C267">
        <v>78.269999999999996</v>
      </c>
      <c r="D267">
        <v>77</v>
      </c>
      <c r="E267">
        <v>37.399999999999999</v>
      </c>
      <c r="F267">
        <f t="shared" si="60"/>
        <v>27.899999999999999</v>
      </c>
      <c r="G267">
        <f t="shared" si="61"/>
        <v>48.399999999999999</v>
      </c>
      <c r="H267">
        <v>37.5</v>
      </c>
      <c r="I267">
        <f t="shared" si="62"/>
        <v>21.300000000000001</v>
      </c>
      <c r="J267">
        <f t="shared" si="63"/>
        <v>0.10000000000000142</v>
      </c>
      <c r="K267">
        <f t="shared" si="64"/>
        <v>1.8000000000000255e-002</v>
      </c>
      <c r="L267">
        <f t="shared" si="65"/>
        <v>1.6000000000000229e-002</v>
      </c>
      <c r="M267">
        <f t="shared" si="66"/>
        <v>1.40000000000002e-002</v>
      </c>
      <c r="N267">
        <f t="shared" si="67"/>
        <v>1.200000000000017e-002</v>
      </c>
      <c r="O267" s="4">
        <f t="shared" si="68"/>
        <v>69.534000000000148</v>
      </c>
      <c r="P267">
        <f t="shared" si="69"/>
        <v>61.808000000000114</v>
      </c>
      <c r="Q267">
        <f t="shared" si="70"/>
        <v>54.082000000000058</v>
      </c>
      <c r="R267">
        <f t="shared" si="71"/>
        <v>46.356000000000073</v>
      </c>
    </row>
    <row r="268" ht="14.25">
      <c r="A268">
        <v>1682967</v>
      </c>
      <c r="B268">
        <v>-4.6699999999999999</v>
      </c>
      <c r="C268">
        <v>78.230000000000004</v>
      </c>
      <c r="D268">
        <v>73</v>
      </c>
      <c r="E268">
        <v>37.399999999999999</v>
      </c>
      <c r="F268">
        <f t="shared" si="60"/>
        <v>28</v>
      </c>
      <c r="G268">
        <f t="shared" si="61"/>
        <v>45.899999999999999</v>
      </c>
      <c r="H268">
        <v>37.5</v>
      </c>
      <c r="I268">
        <f t="shared" si="62"/>
        <v>20.199999999999999</v>
      </c>
      <c r="J268">
        <f t="shared" si="63"/>
        <v>0.10000000000000142</v>
      </c>
      <c r="K268">
        <f t="shared" si="64"/>
        <v>1.8000000000000255e-002</v>
      </c>
      <c r="L268">
        <f t="shared" si="65"/>
        <v>1.6000000000000229e-002</v>
      </c>
      <c r="M268">
        <f t="shared" si="66"/>
        <v>1.40000000000002e-002</v>
      </c>
      <c r="N268">
        <f t="shared" si="67"/>
        <v>1.200000000000017e-002</v>
      </c>
      <c r="O268" s="4">
        <f t="shared" si="68"/>
        <v>69.552000000000149</v>
      </c>
      <c r="P268">
        <f t="shared" si="69"/>
        <v>61.824000000000112</v>
      </c>
      <c r="Q268">
        <f t="shared" si="70"/>
        <v>54.09600000000006</v>
      </c>
      <c r="R268">
        <f t="shared" si="71"/>
        <v>46.368000000000073</v>
      </c>
    </row>
    <row r="269" ht="14.25">
      <c r="A269">
        <v>1689269</v>
      </c>
      <c r="B269">
        <v>-2.6699999999999999</v>
      </c>
      <c r="C269">
        <v>78.200000000000003</v>
      </c>
      <c r="D269">
        <v>75</v>
      </c>
      <c r="E269">
        <v>37.600000000000001</v>
      </c>
      <c r="F269">
        <f t="shared" si="60"/>
        <v>28.199999999999999</v>
      </c>
      <c r="G269">
        <f t="shared" si="61"/>
        <v>47.200000000000003</v>
      </c>
      <c r="H269">
        <v>37.5</v>
      </c>
      <c r="I269">
        <f t="shared" si="62"/>
        <v>20.800000000000001</v>
      </c>
      <c r="J269">
        <f t="shared" si="63"/>
        <v>-0.10000000000000142</v>
      </c>
      <c r="K269">
        <f t="shared" si="64"/>
        <v>-1.8000000000000255e-002</v>
      </c>
      <c r="L269">
        <f t="shared" si="65"/>
        <v>-1.6000000000000229e-002</v>
      </c>
      <c r="M269">
        <f t="shared" si="66"/>
        <v>-1.40000000000002e-002</v>
      </c>
      <c r="N269">
        <f t="shared" si="67"/>
        <v>-1.200000000000017e-002</v>
      </c>
      <c r="O269" s="4">
        <f t="shared" si="68"/>
        <v>69.570000000000149</v>
      </c>
      <c r="P269">
        <f t="shared" si="69"/>
        <v>61.84000000000011</v>
      </c>
      <c r="Q269">
        <f t="shared" si="70"/>
        <v>54.110000000000063</v>
      </c>
      <c r="R269">
        <f t="shared" si="71"/>
        <v>46.380000000000074</v>
      </c>
    </row>
    <row r="270" ht="14.25">
      <c r="A270">
        <v>1695574</v>
      </c>
      <c r="B270">
        <v>-0.67000000000000004</v>
      </c>
      <c r="C270">
        <v>78.189999999999998</v>
      </c>
      <c r="D270">
        <v>77</v>
      </c>
      <c r="E270">
        <v>37.5</v>
      </c>
      <c r="F270">
        <f t="shared" si="60"/>
        <v>28.300000000000001</v>
      </c>
      <c r="G270">
        <f t="shared" si="61"/>
        <v>48.399999999999999</v>
      </c>
      <c r="H270">
        <v>37.5</v>
      </c>
      <c r="I270">
        <f t="shared" si="62"/>
        <v>21.300000000000001</v>
      </c>
      <c r="J270">
        <f t="shared" si="63"/>
        <v>0</v>
      </c>
      <c r="K270">
        <f t="shared" si="64"/>
        <v>0</v>
      </c>
      <c r="L270">
        <f t="shared" si="65"/>
        <v>0</v>
      </c>
      <c r="M270">
        <f t="shared" si="66"/>
        <v>0</v>
      </c>
      <c r="N270">
        <f t="shared" si="67"/>
        <v>0</v>
      </c>
      <c r="O270" s="4">
        <f t="shared" si="68"/>
        <v>69.552000000000149</v>
      </c>
      <c r="P270">
        <f t="shared" si="69"/>
        <v>61.824000000000112</v>
      </c>
      <c r="Q270">
        <f t="shared" si="70"/>
        <v>54.09600000000006</v>
      </c>
      <c r="R270">
        <f t="shared" si="71"/>
        <v>46.368000000000073</v>
      </c>
    </row>
    <row r="271" ht="14.25">
      <c r="A271">
        <v>1701876</v>
      </c>
      <c r="B271">
        <v>2</v>
      </c>
      <c r="C271">
        <v>78.209999999999994</v>
      </c>
      <c r="D271">
        <v>80</v>
      </c>
      <c r="E271">
        <v>37.299999999999997</v>
      </c>
      <c r="F271">
        <f t="shared" si="60"/>
        <v>28.399999999999999</v>
      </c>
      <c r="G271">
        <f t="shared" si="61"/>
        <v>50.299999999999997</v>
      </c>
      <c r="H271">
        <v>37.5</v>
      </c>
      <c r="I271">
        <f t="shared" si="62"/>
        <v>22.100000000000001</v>
      </c>
      <c r="J271">
        <f t="shared" si="63"/>
        <v>0.20000000000000284</v>
      </c>
      <c r="K271">
        <f t="shared" si="64"/>
        <v>3.6000000000000511e-002</v>
      </c>
      <c r="L271">
        <f t="shared" si="65"/>
        <v>3.2000000000000459e-002</v>
      </c>
      <c r="M271">
        <f t="shared" si="66"/>
        <v>2.80000000000004e-002</v>
      </c>
      <c r="N271">
        <f t="shared" si="67"/>
        <v>2.4000000000000341e-002</v>
      </c>
      <c r="O271" s="4">
        <f t="shared" si="68"/>
        <v>69.552000000000149</v>
      </c>
      <c r="P271">
        <f t="shared" si="69"/>
        <v>61.824000000000112</v>
      </c>
      <c r="Q271">
        <f t="shared" si="70"/>
        <v>54.09600000000006</v>
      </c>
      <c r="R271">
        <f t="shared" si="71"/>
        <v>46.368000000000073</v>
      </c>
    </row>
    <row r="272" ht="14.25">
      <c r="A272">
        <v>1708180</v>
      </c>
      <c r="B272">
        <v>0</v>
      </c>
      <c r="C272">
        <v>78.209999999999994</v>
      </c>
      <c r="D272">
        <v>78</v>
      </c>
      <c r="E272">
        <v>37.700000000000003</v>
      </c>
      <c r="F272">
        <f t="shared" si="60"/>
        <v>28.5</v>
      </c>
      <c r="G272">
        <f t="shared" si="61"/>
        <v>49.100000000000001</v>
      </c>
      <c r="H272">
        <v>37.5</v>
      </c>
      <c r="I272">
        <f t="shared" si="62"/>
        <v>21.600000000000001</v>
      </c>
      <c r="J272">
        <f t="shared" si="63"/>
        <v>-0.20000000000000284</v>
      </c>
      <c r="K272">
        <f t="shared" si="64"/>
        <v>-3.6000000000000511e-002</v>
      </c>
      <c r="L272">
        <f t="shared" si="65"/>
        <v>-3.2000000000000459e-002</v>
      </c>
      <c r="M272">
        <f t="shared" si="66"/>
        <v>-2.80000000000004e-002</v>
      </c>
      <c r="N272">
        <f t="shared" si="67"/>
        <v>-2.4000000000000341e-002</v>
      </c>
      <c r="O272" s="4">
        <f t="shared" si="68"/>
        <v>69.58800000000015</v>
      </c>
      <c r="P272">
        <f t="shared" si="69"/>
        <v>61.856000000000115</v>
      </c>
      <c r="Q272">
        <f t="shared" si="70"/>
        <v>54.124000000000059</v>
      </c>
      <c r="R272">
        <f t="shared" si="71"/>
        <v>46.392000000000074</v>
      </c>
    </row>
    <row r="273" ht="14.25">
      <c r="A273">
        <v>1714484</v>
      </c>
      <c r="B273">
        <v>-1.3300000000000001</v>
      </c>
      <c r="C273">
        <v>78.200000000000003</v>
      </c>
      <c r="D273">
        <v>76</v>
      </c>
      <c r="E273">
        <v>37.600000000000001</v>
      </c>
      <c r="F273">
        <f t="shared" si="60"/>
        <v>28.600000000000001</v>
      </c>
      <c r="G273">
        <f t="shared" si="61"/>
        <v>47.799999999999997</v>
      </c>
      <c r="H273">
        <v>37.5</v>
      </c>
      <c r="I273">
        <f t="shared" si="62"/>
        <v>21</v>
      </c>
      <c r="J273">
        <f t="shared" si="63"/>
        <v>-0.10000000000000142</v>
      </c>
      <c r="K273">
        <f t="shared" si="64"/>
        <v>-1.8000000000000255e-002</v>
      </c>
      <c r="L273">
        <f t="shared" si="65"/>
        <v>-1.6000000000000229e-002</v>
      </c>
      <c r="M273">
        <f t="shared" si="66"/>
        <v>-1.40000000000002e-002</v>
      </c>
      <c r="N273">
        <f t="shared" si="67"/>
        <v>-1.200000000000017e-002</v>
      </c>
      <c r="O273" s="4">
        <f t="shared" si="68"/>
        <v>69.552000000000149</v>
      </c>
      <c r="P273">
        <f t="shared" si="69"/>
        <v>61.824000000000112</v>
      </c>
      <c r="Q273">
        <f t="shared" si="70"/>
        <v>54.09600000000006</v>
      </c>
      <c r="R273">
        <f t="shared" si="71"/>
        <v>46.368000000000073</v>
      </c>
    </row>
    <row r="274" ht="14.25">
      <c r="A274">
        <v>1720787</v>
      </c>
      <c r="B274">
        <v>-2.6699999999999999</v>
      </c>
      <c r="C274">
        <v>78.170000000000002</v>
      </c>
      <c r="D274">
        <v>75</v>
      </c>
      <c r="E274">
        <v>37.399999999999999</v>
      </c>
      <c r="F274">
        <f t="shared" si="60"/>
        <v>28.699999999999999</v>
      </c>
      <c r="G274">
        <f t="shared" si="61"/>
        <v>47.200000000000003</v>
      </c>
      <c r="H274">
        <v>37.5</v>
      </c>
      <c r="I274">
        <f t="shared" si="62"/>
        <v>20.800000000000001</v>
      </c>
      <c r="J274">
        <f t="shared" si="63"/>
        <v>0.10000000000000142</v>
      </c>
      <c r="K274">
        <f t="shared" si="64"/>
        <v>1.8000000000000255e-002</v>
      </c>
      <c r="L274">
        <f t="shared" si="65"/>
        <v>1.6000000000000229e-002</v>
      </c>
      <c r="M274">
        <f t="shared" si="66"/>
        <v>1.40000000000002e-002</v>
      </c>
      <c r="N274">
        <f t="shared" si="67"/>
        <v>1.200000000000017e-002</v>
      </c>
      <c r="O274" s="4">
        <f t="shared" si="68"/>
        <v>69.534000000000148</v>
      </c>
      <c r="P274">
        <f t="shared" si="69"/>
        <v>61.808000000000114</v>
      </c>
      <c r="Q274">
        <f t="shared" si="70"/>
        <v>54.082000000000058</v>
      </c>
      <c r="R274">
        <f t="shared" si="71"/>
        <v>46.356000000000073</v>
      </c>
    </row>
    <row r="275" ht="14.25">
      <c r="A275">
        <v>1727091</v>
      </c>
      <c r="B275">
        <v>0.67000000000000004</v>
      </c>
      <c r="C275">
        <v>78.180000000000007</v>
      </c>
      <c r="D275">
        <v>78</v>
      </c>
      <c r="E275">
        <v>37.399999999999999</v>
      </c>
      <c r="F275">
        <f t="shared" si="60"/>
        <v>28.800000000000001</v>
      </c>
      <c r="G275">
        <f t="shared" si="61"/>
        <v>49.100000000000001</v>
      </c>
      <c r="H275">
        <v>37.5</v>
      </c>
      <c r="I275">
        <f t="shared" si="62"/>
        <v>21.600000000000001</v>
      </c>
      <c r="J275">
        <f t="shared" si="63"/>
        <v>0.10000000000000142</v>
      </c>
      <c r="K275">
        <f t="shared" si="64"/>
        <v>1.8000000000000255e-002</v>
      </c>
      <c r="L275">
        <f t="shared" si="65"/>
        <v>1.6000000000000229e-002</v>
      </c>
      <c r="M275">
        <f t="shared" si="66"/>
        <v>1.40000000000002e-002</v>
      </c>
      <c r="N275">
        <f t="shared" si="67"/>
        <v>1.200000000000017e-002</v>
      </c>
      <c r="O275" s="4">
        <f t="shared" si="68"/>
        <v>69.552000000000149</v>
      </c>
      <c r="P275">
        <f t="shared" si="69"/>
        <v>61.824000000000112</v>
      </c>
      <c r="Q275">
        <f t="shared" si="70"/>
        <v>54.09600000000006</v>
      </c>
      <c r="R275">
        <f t="shared" si="71"/>
        <v>46.368000000000073</v>
      </c>
    </row>
    <row r="276" ht="14.25">
      <c r="A276">
        <v>1733394</v>
      </c>
      <c r="B276">
        <v>0.67000000000000004</v>
      </c>
      <c r="C276">
        <v>78.189999999999998</v>
      </c>
      <c r="D276">
        <v>78</v>
      </c>
      <c r="E276">
        <v>37.5</v>
      </c>
      <c r="F276">
        <f t="shared" si="60"/>
        <v>28.899999999999999</v>
      </c>
      <c r="G276">
        <f t="shared" si="61"/>
        <v>49.100000000000001</v>
      </c>
      <c r="H276">
        <v>37.5</v>
      </c>
      <c r="I276">
        <f t="shared" si="62"/>
        <v>21.600000000000001</v>
      </c>
      <c r="J276">
        <f t="shared" si="63"/>
        <v>0</v>
      </c>
      <c r="K276">
        <f t="shared" si="64"/>
        <v>0</v>
      </c>
      <c r="L276">
        <f t="shared" si="65"/>
        <v>0</v>
      </c>
      <c r="M276">
        <f t="shared" si="66"/>
        <v>0</v>
      </c>
      <c r="N276">
        <f t="shared" si="67"/>
        <v>0</v>
      </c>
      <c r="O276" s="4">
        <f t="shared" si="68"/>
        <v>69.570000000000149</v>
      </c>
      <c r="P276">
        <f t="shared" si="69"/>
        <v>61.84000000000011</v>
      </c>
      <c r="Q276">
        <f t="shared" si="70"/>
        <v>54.110000000000063</v>
      </c>
      <c r="R276">
        <f t="shared" si="71"/>
        <v>46.380000000000074</v>
      </c>
    </row>
    <row r="277" ht="14.25">
      <c r="A277">
        <v>1739697</v>
      </c>
      <c r="B277">
        <v>-0.67000000000000004</v>
      </c>
      <c r="C277">
        <v>78.180000000000007</v>
      </c>
      <c r="D277">
        <v>77</v>
      </c>
      <c r="E277">
        <v>37.600000000000001</v>
      </c>
      <c r="F277">
        <f t="shared" si="60"/>
        <v>29</v>
      </c>
      <c r="G277">
        <f t="shared" si="61"/>
        <v>48.399999999999999</v>
      </c>
      <c r="H277">
        <v>37.5</v>
      </c>
      <c r="I277">
        <f t="shared" si="62"/>
        <v>21.300000000000001</v>
      </c>
      <c r="J277">
        <f t="shared" si="63"/>
        <v>-0.10000000000000142</v>
      </c>
      <c r="K277">
        <f t="shared" si="64"/>
        <v>-1.8000000000000255e-002</v>
      </c>
      <c r="L277">
        <f t="shared" si="65"/>
        <v>-1.6000000000000229e-002</v>
      </c>
      <c r="M277">
        <f t="shared" si="66"/>
        <v>-1.40000000000002e-002</v>
      </c>
      <c r="N277">
        <f t="shared" si="67"/>
        <v>-1.200000000000017e-002</v>
      </c>
      <c r="O277" s="4">
        <f t="shared" si="68"/>
        <v>69.570000000000149</v>
      </c>
      <c r="P277">
        <f t="shared" si="69"/>
        <v>61.84000000000011</v>
      </c>
      <c r="Q277">
        <f t="shared" si="70"/>
        <v>54.110000000000063</v>
      </c>
      <c r="R277">
        <f t="shared" si="71"/>
        <v>46.380000000000074</v>
      </c>
    </row>
    <row r="278" ht="14.25">
      <c r="A278">
        <v>1745999</v>
      </c>
      <c r="B278">
        <v>-0.67000000000000004</v>
      </c>
      <c r="C278">
        <v>78.170000000000002</v>
      </c>
      <c r="D278">
        <v>77</v>
      </c>
      <c r="E278">
        <v>37.600000000000001</v>
      </c>
      <c r="F278">
        <f t="shared" si="60"/>
        <v>29.100000000000001</v>
      </c>
      <c r="G278">
        <f t="shared" si="61"/>
        <v>48.399999999999999</v>
      </c>
      <c r="H278">
        <v>37.5</v>
      </c>
      <c r="I278">
        <f t="shared" si="62"/>
        <v>21.300000000000001</v>
      </c>
      <c r="J278">
        <f t="shared" si="63"/>
        <v>-0.10000000000000142</v>
      </c>
      <c r="K278">
        <f t="shared" si="64"/>
        <v>-1.8000000000000255e-002</v>
      </c>
      <c r="L278">
        <f t="shared" si="65"/>
        <v>-1.6000000000000229e-002</v>
      </c>
      <c r="M278">
        <f t="shared" si="66"/>
        <v>-1.40000000000002e-002</v>
      </c>
      <c r="N278">
        <f t="shared" si="67"/>
        <v>-1.200000000000017e-002</v>
      </c>
      <c r="O278" s="4">
        <f t="shared" si="68"/>
        <v>69.552000000000149</v>
      </c>
      <c r="P278">
        <f t="shared" si="69"/>
        <v>61.824000000000112</v>
      </c>
      <c r="Q278">
        <f t="shared" si="70"/>
        <v>54.09600000000006</v>
      </c>
      <c r="R278">
        <f t="shared" si="71"/>
        <v>46.368000000000073</v>
      </c>
    </row>
    <row r="279" ht="14.25">
      <c r="A279">
        <v>1752303</v>
      </c>
      <c r="B279">
        <v>2</v>
      </c>
      <c r="C279">
        <v>78.189999999999998</v>
      </c>
      <c r="D279">
        <v>80</v>
      </c>
      <c r="E279">
        <v>37.399999999999999</v>
      </c>
      <c r="F279">
        <f t="shared" si="60"/>
        <v>29.199999999999999</v>
      </c>
      <c r="G279">
        <f t="shared" si="61"/>
        <v>50.299999999999997</v>
      </c>
      <c r="H279">
        <v>37.5</v>
      </c>
      <c r="I279">
        <f t="shared" si="62"/>
        <v>22.100000000000001</v>
      </c>
      <c r="J279">
        <f t="shared" si="63"/>
        <v>0.10000000000000142</v>
      </c>
      <c r="K279">
        <f t="shared" si="64"/>
        <v>1.8000000000000255e-002</v>
      </c>
      <c r="L279">
        <f t="shared" si="65"/>
        <v>1.6000000000000229e-002</v>
      </c>
      <c r="M279">
        <f t="shared" si="66"/>
        <v>1.40000000000002e-002</v>
      </c>
      <c r="N279">
        <f t="shared" si="67"/>
        <v>1.200000000000017e-002</v>
      </c>
      <c r="O279" s="4">
        <f t="shared" si="68"/>
        <v>69.534000000000148</v>
      </c>
      <c r="P279">
        <f t="shared" si="69"/>
        <v>61.808000000000114</v>
      </c>
      <c r="Q279">
        <f t="shared" si="70"/>
        <v>54.082000000000058</v>
      </c>
      <c r="R279">
        <f t="shared" si="71"/>
        <v>46.356000000000073</v>
      </c>
    </row>
    <row r="280" ht="14.25">
      <c r="A280">
        <v>1758606</v>
      </c>
      <c r="B280">
        <v>2.6699999999999999</v>
      </c>
      <c r="C280">
        <v>78.219999999999999</v>
      </c>
      <c r="D280">
        <v>80</v>
      </c>
      <c r="E280">
        <v>37.200000000000003</v>
      </c>
      <c r="F280">
        <f t="shared" si="60"/>
        <v>29.300000000000001</v>
      </c>
      <c r="G280">
        <f t="shared" si="61"/>
        <v>50.299999999999997</v>
      </c>
      <c r="H280">
        <v>37.5</v>
      </c>
      <c r="I280">
        <f t="shared" si="62"/>
        <v>22.100000000000001</v>
      </c>
      <c r="J280">
        <f t="shared" si="63"/>
        <v>0.29999999999999716</v>
      </c>
      <c r="K280">
        <f t="shared" si="64"/>
        <v>5.3999999999999486e-002</v>
      </c>
      <c r="L280">
        <f t="shared" si="65"/>
        <v>4.7999999999999543e-002</v>
      </c>
      <c r="M280">
        <f t="shared" si="66"/>
        <v>4.1999999999999607e-002</v>
      </c>
      <c r="N280">
        <f t="shared" si="67"/>
        <v>3.5999999999999657e-002</v>
      </c>
      <c r="O280" s="4">
        <f t="shared" si="68"/>
        <v>69.552000000000149</v>
      </c>
      <c r="P280">
        <f t="shared" si="69"/>
        <v>61.824000000000112</v>
      </c>
      <c r="Q280">
        <f t="shared" si="70"/>
        <v>54.09600000000006</v>
      </c>
      <c r="R280">
        <f t="shared" si="71"/>
        <v>46.368000000000073</v>
      </c>
    </row>
    <row r="281" ht="14.25">
      <c r="A281">
        <v>1764910</v>
      </c>
      <c r="B281">
        <v>0</v>
      </c>
      <c r="C281">
        <v>78.219999999999999</v>
      </c>
      <c r="D281">
        <v>78</v>
      </c>
      <c r="E281">
        <v>37.5</v>
      </c>
      <c r="F281">
        <f t="shared" si="60"/>
        <v>29.399999999999999</v>
      </c>
      <c r="G281">
        <f t="shared" si="61"/>
        <v>49.100000000000001</v>
      </c>
      <c r="H281">
        <v>37.5</v>
      </c>
      <c r="I281">
        <f t="shared" si="62"/>
        <v>21.600000000000001</v>
      </c>
      <c r="J281">
        <f t="shared" si="63"/>
        <v>0</v>
      </c>
      <c r="K281">
        <f t="shared" si="64"/>
        <v>0</v>
      </c>
      <c r="L281">
        <f t="shared" si="65"/>
        <v>0</v>
      </c>
      <c r="M281">
        <f t="shared" si="66"/>
        <v>0</v>
      </c>
      <c r="N281">
        <f t="shared" si="67"/>
        <v>0</v>
      </c>
      <c r="O281" s="4">
        <f t="shared" si="68"/>
        <v>69.606000000000151</v>
      </c>
      <c r="P281">
        <f t="shared" si="69"/>
        <v>61.872000000000114</v>
      </c>
      <c r="Q281">
        <f t="shared" si="70"/>
        <v>54.138000000000062</v>
      </c>
      <c r="R281">
        <f t="shared" si="71"/>
        <v>46.404000000000075</v>
      </c>
    </row>
    <row r="282" ht="14.25">
      <c r="A282">
        <v>1771212</v>
      </c>
      <c r="B282">
        <v>0</v>
      </c>
      <c r="C282">
        <v>78.219999999999999</v>
      </c>
      <c r="D282">
        <v>78</v>
      </c>
      <c r="E282">
        <v>37.5</v>
      </c>
      <c r="F282">
        <f t="shared" si="60"/>
        <v>29.5</v>
      </c>
      <c r="G282">
        <f t="shared" si="61"/>
        <v>49.100000000000001</v>
      </c>
      <c r="H282">
        <v>37.5</v>
      </c>
      <c r="I282">
        <f t="shared" si="62"/>
        <v>21.600000000000001</v>
      </c>
      <c r="J282">
        <f t="shared" si="63"/>
        <v>0</v>
      </c>
      <c r="K282">
        <f t="shared" si="64"/>
        <v>0</v>
      </c>
      <c r="L282">
        <f t="shared" si="65"/>
        <v>0</v>
      </c>
      <c r="M282">
        <f t="shared" si="66"/>
        <v>0</v>
      </c>
      <c r="N282">
        <f t="shared" si="67"/>
        <v>0</v>
      </c>
      <c r="O282" s="4">
        <f t="shared" si="68"/>
        <v>69.606000000000151</v>
      </c>
      <c r="P282">
        <f t="shared" si="69"/>
        <v>61.872000000000114</v>
      </c>
      <c r="Q282">
        <f t="shared" si="70"/>
        <v>54.138000000000062</v>
      </c>
      <c r="R282">
        <f t="shared" si="71"/>
        <v>46.404000000000075</v>
      </c>
    </row>
    <row r="283" ht="14.25">
      <c r="A283">
        <v>1777515</v>
      </c>
      <c r="B283">
        <v>2</v>
      </c>
      <c r="C283">
        <v>78.239999999999995</v>
      </c>
      <c r="D283">
        <v>80</v>
      </c>
      <c r="E283">
        <v>37.5</v>
      </c>
      <c r="F283">
        <f t="shared" si="60"/>
        <v>29.600000000000001</v>
      </c>
      <c r="G283">
        <f t="shared" si="61"/>
        <v>50.299999999999997</v>
      </c>
      <c r="H283">
        <v>37.5</v>
      </c>
      <c r="I283">
        <f t="shared" si="62"/>
        <v>22.100000000000001</v>
      </c>
      <c r="J283">
        <f t="shared" si="63"/>
        <v>0</v>
      </c>
      <c r="K283">
        <f t="shared" si="64"/>
        <v>0</v>
      </c>
      <c r="L283">
        <f t="shared" si="65"/>
        <v>0</v>
      </c>
      <c r="M283">
        <f t="shared" si="66"/>
        <v>0</v>
      </c>
      <c r="N283">
        <f t="shared" si="67"/>
        <v>0</v>
      </c>
      <c r="O283" s="4">
        <f t="shared" si="68"/>
        <v>69.606000000000151</v>
      </c>
      <c r="P283">
        <f t="shared" si="69"/>
        <v>61.872000000000114</v>
      </c>
      <c r="Q283">
        <f t="shared" si="70"/>
        <v>54.138000000000062</v>
      </c>
      <c r="R283">
        <f t="shared" si="71"/>
        <v>46.404000000000075</v>
      </c>
    </row>
    <row r="284" ht="14.25">
      <c r="A284">
        <v>1783818</v>
      </c>
      <c r="B284">
        <v>2</v>
      </c>
      <c r="C284">
        <v>78.260000000000005</v>
      </c>
      <c r="D284">
        <v>80</v>
      </c>
      <c r="E284">
        <v>37.5</v>
      </c>
      <c r="F284">
        <f t="shared" si="60"/>
        <v>29.699999999999999</v>
      </c>
      <c r="G284">
        <f t="shared" si="61"/>
        <v>50.299999999999997</v>
      </c>
      <c r="H284">
        <v>37.5</v>
      </c>
      <c r="I284">
        <f t="shared" si="62"/>
        <v>22.100000000000001</v>
      </c>
      <c r="J284">
        <f t="shared" si="63"/>
        <v>0</v>
      </c>
      <c r="K284">
        <f t="shared" si="64"/>
        <v>0</v>
      </c>
      <c r="L284">
        <f t="shared" si="65"/>
        <v>0</v>
      </c>
      <c r="M284">
        <f t="shared" si="66"/>
        <v>0</v>
      </c>
      <c r="N284">
        <f t="shared" si="67"/>
        <v>0</v>
      </c>
      <c r="O284" s="4">
        <f t="shared" si="68"/>
        <v>69.606000000000151</v>
      </c>
      <c r="P284">
        <f t="shared" si="69"/>
        <v>61.872000000000114</v>
      </c>
      <c r="Q284">
        <f t="shared" si="70"/>
        <v>54.138000000000062</v>
      </c>
      <c r="R284">
        <f t="shared" si="71"/>
        <v>46.404000000000075</v>
      </c>
    </row>
    <row r="285" ht="14.25">
      <c r="A285">
        <v>1790121</v>
      </c>
      <c r="B285">
        <v>0</v>
      </c>
      <c r="C285">
        <v>78.260000000000005</v>
      </c>
      <c r="D285">
        <v>78</v>
      </c>
      <c r="E285">
        <v>37.5</v>
      </c>
      <c r="F285">
        <f t="shared" si="60"/>
        <v>29.800000000000001</v>
      </c>
      <c r="G285">
        <f t="shared" si="61"/>
        <v>49.100000000000001</v>
      </c>
      <c r="H285">
        <v>37.5</v>
      </c>
      <c r="I285">
        <f t="shared" si="62"/>
        <v>21.600000000000001</v>
      </c>
      <c r="J285">
        <f t="shared" si="63"/>
        <v>0</v>
      </c>
      <c r="K285">
        <f t="shared" si="64"/>
        <v>0</v>
      </c>
      <c r="L285">
        <f t="shared" si="65"/>
        <v>0</v>
      </c>
      <c r="M285">
        <f t="shared" si="66"/>
        <v>0</v>
      </c>
      <c r="N285">
        <f t="shared" si="67"/>
        <v>0</v>
      </c>
      <c r="O285" s="4">
        <f t="shared" si="68"/>
        <v>69.606000000000151</v>
      </c>
      <c r="P285">
        <f t="shared" si="69"/>
        <v>61.872000000000114</v>
      </c>
      <c r="Q285">
        <f t="shared" si="70"/>
        <v>54.138000000000062</v>
      </c>
      <c r="R285">
        <f t="shared" si="71"/>
        <v>46.404000000000075</v>
      </c>
    </row>
    <row r="286" ht="14.25">
      <c r="A286">
        <v>1796425</v>
      </c>
      <c r="B286">
        <v>-4.6699999999999999</v>
      </c>
      <c r="C286">
        <v>78.209999999999994</v>
      </c>
      <c r="D286">
        <v>73</v>
      </c>
      <c r="E286">
        <v>37.700000000000003</v>
      </c>
      <c r="F286">
        <f t="shared" si="60"/>
        <v>29.899999999999999</v>
      </c>
      <c r="G286">
        <f t="shared" si="61"/>
        <v>45.899999999999999</v>
      </c>
      <c r="H286">
        <v>37.5</v>
      </c>
      <c r="I286">
        <f t="shared" si="62"/>
        <v>20.199999999999999</v>
      </c>
      <c r="J286">
        <f t="shared" si="63"/>
        <v>-0.20000000000000284</v>
      </c>
      <c r="K286">
        <f t="shared" si="64"/>
        <v>-3.6000000000000511e-002</v>
      </c>
      <c r="L286">
        <f t="shared" si="65"/>
        <v>-3.2000000000000459e-002</v>
      </c>
      <c r="M286">
        <f t="shared" si="66"/>
        <v>-2.80000000000004e-002</v>
      </c>
      <c r="N286">
        <f t="shared" si="67"/>
        <v>-2.4000000000000341e-002</v>
      </c>
      <c r="O286" s="4">
        <f t="shared" si="68"/>
        <v>69.606000000000151</v>
      </c>
      <c r="P286">
        <f t="shared" si="69"/>
        <v>61.872000000000114</v>
      </c>
      <c r="Q286">
        <f t="shared" si="70"/>
        <v>54.138000000000062</v>
      </c>
      <c r="R286">
        <f t="shared" si="71"/>
        <v>46.404000000000075</v>
      </c>
    </row>
    <row r="287" ht="14.25">
      <c r="A287">
        <v>1802729</v>
      </c>
      <c r="B287">
        <v>0</v>
      </c>
      <c r="C287">
        <v>78.209999999999994</v>
      </c>
      <c r="D287">
        <v>78</v>
      </c>
      <c r="E287">
        <v>37.5</v>
      </c>
      <c r="F287">
        <f t="shared" si="60"/>
        <v>30</v>
      </c>
      <c r="G287">
        <f t="shared" si="61"/>
        <v>49.100000000000001</v>
      </c>
      <c r="H287">
        <v>37.5</v>
      </c>
      <c r="I287">
        <f t="shared" si="62"/>
        <v>21.600000000000001</v>
      </c>
      <c r="J287">
        <f t="shared" si="63"/>
        <v>0</v>
      </c>
      <c r="K287">
        <f t="shared" si="64"/>
        <v>0</v>
      </c>
      <c r="L287">
        <f t="shared" si="65"/>
        <v>0</v>
      </c>
      <c r="M287">
        <f t="shared" si="66"/>
        <v>0</v>
      </c>
      <c r="N287">
        <f t="shared" si="67"/>
        <v>0</v>
      </c>
      <c r="O287" s="4">
        <f t="shared" si="68"/>
        <v>69.570000000000149</v>
      </c>
      <c r="P287">
        <f t="shared" si="69"/>
        <v>61.84000000000011</v>
      </c>
      <c r="Q287">
        <f t="shared" si="70"/>
        <v>54.110000000000063</v>
      </c>
      <c r="R287">
        <f t="shared" si="71"/>
        <v>46.380000000000074</v>
      </c>
    </row>
    <row r="288" ht="14.25">
      <c r="A288">
        <v>1809033</v>
      </c>
      <c r="B288">
        <v>0</v>
      </c>
      <c r="C288">
        <v>78.209999999999994</v>
      </c>
      <c r="D288">
        <v>78</v>
      </c>
      <c r="E288">
        <v>37.5</v>
      </c>
      <c r="F288">
        <f t="shared" si="60"/>
        <v>30.199999999999999</v>
      </c>
      <c r="G288">
        <f t="shared" si="61"/>
        <v>49.100000000000001</v>
      </c>
      <c r="H288">
        <v>37.5</v>
      </c>
      <c r="I288">
        <f t="shared" si="62"/>
        <v>21.600000000000001</v>
      </c>
      <c r="J288">
        <f t="shared" si="63"/>
        <v>0</v>
      </c>
      <c r="K288">
        <f t="shared" si="64"/>
        <v>0</v>
      </c>
      <c r="L288">
        <f t="shared" si="65"/>
        <v>0</v>
      </c>
      <c r="M288">
        <f t="shared" si="66"/>
        <v>0</v>
      </c>
      <c r="N288">
        <f t="shared" si="67"/>
        <v>0</v>
      </c>
      <c r="O288" s="4">
        <f t="shared" si="68"/>
        <v>69.570000000000149</v>
      </c>
      <c r="P288">
        <f t="shared" si="69"/>
        <v>61.84000000000011</v>
      </c>
      <c r="Q288">
        <f t="shared" si="70"/>
        <v>54.110000000000063</v>
      </c>
      <c r="R288">
        <f t="shared" si="71"/>
        <v>46.380000000000074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2026-06-07T15:17:55Z</dcterms:modified>
</cp:coreProperties>
</file>